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3288A40-7988-4924-8E05-CB8728F94527}" xr6:coauthVersionLast="47" xr6:coauthVersionMax="47" xr10:uidLastSave="{00000000-0000-0000-0000-000000000000}"/>
  <bookViews>
    <workbookView xWindow="-120" yWindow="-120" windowWidth="29040" windowHeight="15720" tabRatio="771" activeTab="1" xr2:uid="{EE86E804-17EA-4F7D-950F-1F9AD34BCD9F}"/>
  </bookViews>
  <sheets>
    <sheet name="DISEÑO" sheetId="1" r:id="rId1"/>
    <sheet name="ON LINE" sheetId="4" r:id="rId2"/>
    <sheet name="MAEEDO (RANDOM)" sheetId="7" r:id="rId3"/>
    <sheet name="MAEDDO (RANDOM)" sheetId="8" r:id="rId4"/>
    <sheet name="TABCODAL (RANDOM)" sheetId="5" r:id="rId5"/>
    <sheet name="BODEGAS (APP)" sheetId="2" r:id="rId6"/>
    <sheet name="UBICACION (APP)" sheetId="3" r:id="rId7"/>
    <sheet name="TEMPORAL (APP)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4" l="1"/>
  <c r="G31" i="4"/>
  <c r="J14" i="4"/>
</calcChain>
</file>

<file path=xl/sharedStrings.xml><?xml version="1.0" encoding="utf-8"?>
<sst xmlns="http://schemas.openxmlformats.org/spreadsheetml/2006/main" count="571" uniqueCount="409">
  <si>
    <t>EMPRESA</t>
  </si>
  <si>
    <t>KOSU</t>
  </si>
  <si>
    <t>KOBO</t>
  </si>
  <si>
    <t>NOKOBO</t>
  </si>
  <si>
    <t>10J</t>
  </si>
  <si>
    <t xml:space="preserve">10 DE JULIO                   </t>
  </si>
  <si>
    <t>CMM</t>
  </si>
  <si>
    <t>PSI</t>
  </si>
  <si>
    <t xml:space="preserve">GRAN AVENIDA                  </t>
  </si>
  <si>
    <t>MER</t>
  </si>
  <si>
    <t>MSA</t>
  </si>
  <si>
    <t xml:space="preserve">MERSAN                        </t>
  </si>
  <si>
    <t>VE2</t>
  </si>
  <si>
    <t xml:space="preserve">VENTISQUERO 1111              </t>
  </si>
  <si>
    <t>VEN</t>
  </si>
  <si>
    <t xml:space="preserve">VENTISQUERO 1204              </t>
  </si>
  <si>
    <t>02</t>
  </si>
  <si>
    <t>010</t>
  </si>
  <si>
    <t>TABBO-&gt;NOKOBO</t>
  </si>
  <si>
    <t>Tabla Propia "UBICACION", con mantenedor.</t>
  </si>
  <si>
    <t>1Z1E01C01</t>
  </si>
  <si>
    <t>1Z1E01C02</t>
  </si>
  <si>
    <t>1Z1E01C03</t>
  </si>
  <si>
    <t>1Z1E01C04</t>
  </si>
  <si>
    <t>1Z1E01C05</t>
  </si>
  <si>
    <t>1Z1E01C06</t>
  </si>
  <si>
    <t>1Z1E01C07</t>
  </si>
  <si>
    <t>Ejemplo</t>
  </si>
  <si>
    <t>UBICACIÓN</t>
  </si>
  <si>
    <t>(EN UN PRINCIPIO DEBE QUEDAR DESACTIVADO)</t>
  </si>
  <si>
    <t>CAPTURA</t>
  </si>
  <si>
    <t>Este reporte se debe entregar en excel SKU-CODIGO ALTERNATIVO (BARRA)-CANTIDAD</t>
  </si>
  <si>
    <t>Esta opción NO es ONLINE sino que entregar 2 reportes de captura,</t>
  </si>
  <si>
    <t>Un informe debe agrupar por codigo, es decir, si se captura dos veces o mas, debe sumar las cantidades.</t>
  </si>
  <si>
    <t>Otro Informe tal cual se tomo, es decir NO agrupado con las mismas características del anterior.</t>
  </si>
  <si>
    <t>Relacionado a la Bodega, es decir, si selecciono la bodega solo me debe mostrar la ubicaciones disponibles para esa bodega.</t>
  </si>
  <si>
    <t>Esta opción es On  line y debe ir a consultar la Tabla MAEST, y detectar la catidad según la bodega seleccionada.</t>
  </si>
  <si>
    <t>Aca al ingresar la cantidad se debe actualizar las Tablas MAEST-MAEPR-MAEPREM.</t>
  </si>
  <si>
    <t>Dejar una confirmación antes de grabar. "¿Va a actualizart stock para SKU 999999 por la cantidad 99999, esta seguro?"</t>
  </si>
  <si>
    <t>SKU O BARRA</t>
  </si>
  <si>
    <t>Opciones de búsqueda</t>
  </si>
  <si>
    <t>Leer código de Barra.</t>
  </si>
  <si>
    <t>KOPRAL</t>
  </si>
  <si>
    <t>KOPR</t>
  </si>
  <si>
    <t>NOKOPRAL</t>
  </si>
  <si>
    <t xml:space="preserve">PH5C10299            </t>
  </si>
  <si>
    <t xml:space="preserve">PH5C1029     </t>
  </si>
  <si>
    <t>PER. HEX. 1/2 x 2" G5 HC</t>
  </si>
  <si>
    <t xml:space="preserve">1227209999900G       </t>
  </si>
  <si>
    <t xml:space="preserve">PH5C2375     </t>
  </si>
  <si>
    <t>PER. HEX. 1.1/4 x 10¨ G5 HC.</t>
  </si>
  <si>
    <t xml:space="preserve">0178309999900G       </t>
  </si>
  <si>
    <t xml:space="preserve">JMM11        </t>
  </si>
  <si>
    <t>JUEGO DE MACHOS M10-1.25</t>
  </si>
  <si>
    <t xml:space="preserve">0175329999900G       </t>
  </si>
  <si>
    <t xml:space="preserve">JMF10        </t>
  </si>
  <si>
    <t>JUEGO DE MACHO 1/2 HF</t>
  </si>
  <si>
    <t xml:space="preserve">0177219999900G       </t>
  </si>
  <si>
    <t xml:space="preserve">JMM05        </t>
  </si>
  <si>
    <t>JUEGO DE MACHOS M7-1.0</t>
  </si>
  <si>
    <t xml:space="preserve">0177339999900G       </t>
  </si>
  <si>
    <t xml:space="preserve">JMM12        </t>
  </si>
  <si>
    <t>JUEGO DE MACHOS M10-1.5</t>
  </si>
  <si>
    <t xml:space="preserve">0126209999900G       </t>
  </si>
  <si>
    <t xml:space="preserve">CCA06        </t>
  </si>
  <si>
    <t>CHAVETAS CON SEGURO Nº 6</t>
  </si>
  <si>
    <t xml:space="preserve">2577929999900G       </t>
  </si>
  <si>
    <t xml:space="preserve">PH5M60240    </t>
  </si>
  <si>
    <t>PER. HEX. M30 x 3.5 x 240 8.8</t>
  </si>
  <si>
    <t xml:space="preserve">2573260001000C       </t>
  </si>
  <si>
    <t xml:space="preserve">PH5M39130    </t>
  </si>
  <si>
    <t>PER. HEX. M24 x 3.0 x 130 8.8</t>
  </si>
  <si>
    <t xml:space="preserve">0086340000500B       </t>
  </si>
  <si>
    <t xml:space="preserve">UDP1010      </t>
  </si>
  <si>
    <t>UNION DOBLE 1/2 x 1/2 (008634)</t>
  </si>
  <si>
    <t xml:space="preserve">0177189999900G       </t>
  </si>
  <si>
    <t xml:space="preserve">JMM04        </t>
  </si>
  <si>
    <t>JUEGO DE MACHOS M6-1.0</t>
  </si>
  <si>
    <t xml:space="preserve">0177429999900G       </t>
  </si>
  <si>
    <t xml:space="preserve">JMM16        </t>
  </si>
  <si>
    <t>JUEGO DE MACHOS M12-1.75</t>
  </si>
  <si>
    <t xml:space="preserve">0178399999900G       </t>
  </si>
  <si>
    <t xml:space="preserve">JMM15        </t>
  </si>
  <si>
    <t>JUEGO DE MACHOS M12-1.5</t>
  </si>
  <si>
    <t xml:space="preserve">0178459999900G       </t>
  </si>
  <si>
    <t xml:space="preserve">JMM21        </t>
  </si>
  <si>
    <t>JUEGO DE MACHOS M16-1.5</t>
  </si>
  <si>
    <t xml:space="preserve">5000180010000C       </t>
  </si>
  <si>
    <t xml:space="preserve">THC06        </t>
  </si>
  <si>
    <t>TUE. HEX. 1/4 CINCADA</t>
  </si>
  <si>
    <t xml:space="preserve">5060120010000C       </t>
  </si>
  <si>
    <t xml:space="preserve">THC03        </t>
  </si>
  <si>
    <t>TUE. HEX. 5/32 CINCADA</t>
  </si>
  <si>
    <t xml:space="preserve">5060140010000C       </t>
  </si>
  <si>
    <t xml:space="preserve">THC04        </t>
  </si>
  <si>
    <t>TUE. HEX. 3/16 CINCADA</t>
  </si>
  <si>
    <t>Busqueda en TABCODAL-&gt;KOPRAL</t>
  </si>
  <si>
    <t>SKU= TABCODAL-&gt;KOPR</t>
  </si>
  <si>
    <t>PRODUCTO= TABCODAL-&gt;NOKOPRAL</t>
  </si>
  <si>
    <t>CANTIDAD = EDITABLE DECIMAL,2</t>
  </si>
  <si>
    <t>EJEMPLO</t>
  </si>
  <si>
    <t>AMA250</t>
  </si>
  <si>
    <t>MAEPR-&gt;KOPR (SKU)</t>
  </si>
  <si>
    <t>MAEPR-&gt;NOKOPR (NOMBRE DEL PRODUCTO)</t>
  </si>
  <si>
    <t>AMARRAS PLASTICAS 4.8x400 NEGRA KM1482N</t>
  </si>
  <si>
    <t>UN</t>
  </si>
  <si>
    <t>MAEPR-&gt;UD01PR (UNIDAD DE MEDIDA UNO, ESTE CASO UNIDAD)</t>
  </si>
  <si>
    <t>MAEPR-&gt;UD02PR (UNIDAD DE MEDIDA UNO, ESTE CASO BOLSA)</t>
  </si>
  <si>
    <t>BL</t>
  </si>
  <si>
    <t>MAEPR-&gt;RLUD (RELACION DE UNIDAD PARA LA SEGUNDA UNIDAD, EN ESTE CASO LA BOLSA TREA 100</t>
  </si>
  <si>
    <t>POR LO TANTO CADA VEZ QUE SE GRABE UN CAPTURA DE LA PRIMERA UNIDAD EJEMPLO</t>
  </si>
  <si>
    <t>INSERT PARA UNIDAD UNO (LA CAPTURA)</t>
  </si>
  <si>
    <t>INSERT PARA UINDAD DOS (LA CAPTURA/MAEPR-&gt;RLUD)</t>
  </si>
  <si>
    <t>CAPTURA FISICA</t>
  </si>
  <si>
    <t>MAEST-&gt;STFI1</t>
  </si>
  <si>
    <t>MAEST-&gt;STFI2</t>
  </si>
  <si>
    <t>DICE</t>
  </si>
  <si>
    <t>DIF</t>
  </si>
  <si>
    <t>(WHERE MAEST-&gt;KOBO = LA BODEGA SELECCIONADA)</t>
  </si>
  <si>
    <t>AND MAEST-&gt;KOBO = CODIGO CAPTURADO)</t>
  </si>
  <si>
    <t>DEFINICION DE CANTIDAD PARA PRODUCTOS (SIEMPRE PARA QUE QUEDE ESTÁNDAR)</t>
  </si>
  <si>
    <t>CAPTURAR LA DIFERENCIA EN TABLA TEMPORAL</t>
  </si>
  <si>
    <t>SKU</t>
  </si>
  <si>
    <t>SI ES NEGATIVO ES GDI EL DOCUMENTO A INSERTAR EN MAEEDO, SI ES POSITIVO ES GRI EL DOCUMENTO.</t>
  </si>
  <si>
    <t>UD01PR</t>
  </si>
  <si>
    <t>UD02PR</t>
  </si>
  <si>
    <t>STFI1</t>
  </si>
  <si>
    <t>STFI2</t>
  </si>
  <si>
    <t>INSERT TABLA TEMPORAL</t>
  </si>
  <si>
    <t>UPDATE MAEST</t>
  </si>
  <si>
    <t>AL GRABAR</t>
  </si>
  <si>
    <t>UPDATE MAEPR</t>
  </si>
  <si>
    <t>MAEPR-&gt;STFI1</t>
  </si>
  <si>
    <t>SI ES NEGATIVO ES GDI EL DOCUMENTO A INSERTAR EN MAEEDO, SI ES POSITIVO ES GRI EL DOCUMENTO. PERO SIEMPRE LOS VALORES SE INSERTAN EN POSITIVO</t>
  </si>
  <si>
    <t>(MAEPR-&gt;STFI1) + DIF</t>
  </si>
  <si>
    <t>MAEPR-&gt;STFI2</t>
  </si>
  <si>
    <t>(MAEPR-&gt;STFI2) + DIF</t>
  </si>
  <si>
    <t>UPDATE MAEPREM</t>
  </si>
  <si>
    <t>MAEPREM-&gt;STFI1</t>
  </si>
  <si>
    <t>MAEPREM-&gt;STFI2</t>
  </si>
  <si>
    <t>(MAEPREM-&gt;STFI1) + DIF</t>
  </si>
  <si>
    <t>(MAEPREM-&gt;STFI2) + DIF</t>
  </si>
  <si>
    <t>INSERT MAEEDO</t>
  </si>
  <si>
    <t>IDMAEEDO</t>
  </si>
  <si>
    <t>TIDO</t>
  </si>
  <si>
    <t>NUDO</t>
  </si>
  <si>
    <t>ENDO</t>
  </si>
  <si>
    <t>ENDOFI</t>
  </si>
  <si>
    <t>TIGEDO</t>
  </si>
  <si>
    <t>SUDO</t>
  </si>
  <si>
    <t>LUVTDO</t>
  </si>
  <si>
    <t>INCREMENTAL</t>
  </si>
  <si>
    <t>SE CAPTURA AL SELECCIONAR LA BODEGA</t>
  </si>
  <si>
    <t>DATOS EN MEMROIA AL CAPTURAR</t>
  </si>
  <si>
    <t>AL CAPTURAR DESDE MAEPR</t>
  </si>
  <si>
    <t>FEEMDO</t>
  </si>
  <si>
    <t>KOFUDO</t>
  </si>
  <si>
    <t>DESDE TABFU</t>
  </si>
  <si>
    <t>FUNCIONARIO</t>
  </si>
  <si>
    <t>PZZ</t>
  </si>
  <si>
    <t>TABFU</t>
  </si>
  <si>
    <t>ESDO</t>
  </si>
  <si>
    <t>ESPGDO</t>
  </si>
  <si>
    <t>CAPRCO1</t>
  </si>
  <si>
    <t>CAPRCO</t>
  </si>
  <si>
    <t>CAPRAD</t>
  </si>
  <si>
    <t>CAPREX</t>
  </si>
  <si>
    <t>CAPRNC</t>
  </si>
  <si>
    <t>MEARDO</t>
  </si>
  <si>
    <t>TEMPORAL-&gt;EMPRESA</t>
  </si>
  <si>
    <t>TEMPORAL-&gt;SUDO</t>
  </si>
  <si>
    <t>GDI</t>
  </si>
  <si>
    <t>MAEEDO-&gt;NUDO+1</t>
  </si>
  <si>
    <t xml:space="preserve">76427949-2   </t>
  </si>
  <si>
    <t>TEMPORAL-&gt;KOSU</t>
  </si>
  <si>
    <t>BLANCO</t>
  </si>
  <si>
    <t>I</t>
  </si>
  <si>
    <t>GETDATE()</t>
  </si>
  <si>
    <t>TEMPORAL-&gt;FUNCIONARIO</t>
  </si>
  <si>
    <t>C</t>
  </si>
  <si>
    <t>S</t>
  </si>
  <si>
    <t>SUM(MAEDDO-&gt;CAPRCO1)</t>
  </si>
  <si>
    <t>SUM(MAEDDO-&gt;CAPRAD1)</t>
  </si>
  <si>
    <t>TEMPORAL-&gt;UD01PR</t>
  </si>
  <si>
    <t>N</t>
  </si>
  <si>
    <t>TAMODO</t>
  </si>
  <si>
    <t>MODO</t>
  </si>
  <si>
    <t>TIMODO</t>
  </si>
  <si>
    <t>$</t>
  </si>
  <si>
    <t>NUCTAP</t>
  </si>
  <si>
    <t>VACTDTNEDO</t>
  </si>
  <si>
    <t>CAMPO</t>
  </si>
  <si>
    <t>VALOR</t>
  </si>
  <si>
    <t>VER HOJA</t>
  </si>
  <si>
    <t>VACTDTBRDO</t>
  </si>
  <si>
    <t>NUIVDO</t>
  </si>
  <si>
    <t>POIVDO</t>
  </si>
  <si>
    <t>VAIVDO</t>
  </si>
  <si>
    <t>SUM(MAEDDO-&gt;VAIVLI)</t>
  </si>
  <si>
    <t>VADTNELI</t>
  </si>
  <si>
    <t>VAIMDO</t>
  </si>
  <si>
    <t>NUIMDO</t>
  </si>
  <si>
    <t>VANEDO</t>
  </si>
  <si>
    <t>SUM(MAEDDO-&gt;VANELI)</t>
  </si>
  <si>
    <t>VABRDO</t>
  </si>
  <si>
    <t>SUM(MAEDDO-&gt;VABRLI)</t>
  </si>
  <si>
    <t>POPIDO</t>
  </si>
  <si>
    <t>VAPIDO</t>
  </si>
  <si>
    <t>FE01VEDO</t>
  </si>
  <si>
    <t>FEULVEDO</t>
  </si>
  <si>
    <t>NUVEDO</t>
  </si>
  <si>
    <t>VAABDO</t>
  </si>
  <si>
    <t>MARCA</t>
  </si>
  <si>
    <t>FEER</t>
  </si>
  <si>
    <t>NUTRANSMI</t>
  </si>
  <si>
    <t>NUCOCO</t>
  </si>
  <si>
    <t>KOTU</t>
  </si>
  <si>
    <t>LIBRO</t>
  </si>
  <si>
    <t>LCLV</t>
  </si>
  <si>
    <t>ESFADO</t>
  </si>
  <si>
    <t>KOTRPCVH</t>
  </si>
  <si>
    <t>NULICO</t>
  </si>
  <si>
    <t>PERIODO</t>
  </si>
  <si>
    <t>NUDONODEFI</t>
  </si>
  <si>
    <t>TRANSMASI</t>
  </si>
  <si>
    <t>POIVARET</t>
  </si>
  <si>
    <t>VAIVARET</t>
  </si>
  <si>
    <t>RESUMEN</t>
  </si>
  <si>
    <t>LAHORA</t>
  </si>
  <si>
    <t>KOFUAUDO</t>
  </si>
  <si>
    <t>KOOPDO</t>
  </si>
  <si>
    <t>ESPRODDO</t>
  </si>
  <si>
    <t>DESPACHO</t>
  </si>
  <si>
    <t>HORAGRAB</t>
  </si>
  <si>
    <t>GETDATE() EN NUMERO</t>
  </si>
  <si>
    <t>RUTCONTACT</t>
  </si>
  <si>
    <t>SUBTIDO</t>
  </si>
  <si>
    <t>AJU</t>
  </si>
  <si>
    <t>TIDOELECT</t>
  </si>
  <si>
    <t>ESDOIMP</t>
  </si>
  <si>
    <t>CUOGASDIF</t>
  </si>
  <si>
    <t>BODESTI</t>
  </si>
  <si>
    <t>PROYECTO</t>
  </si>
  <si>
    <t>FECHATRIB</t>
  </si>
  <si>
    <t>NUMOPERVEN</t>
  </si>
  <si>
    <t>BLOQUEAPAG</t>
  </si>
  <si>
    <t>VALORRET</t>
  </si>
  <si>
    <t>FLIQUIFCV</t>
  </si>
  <si>
    <t>VADEIVDO</t>
  </si>
  <si>
    <t>KOCANAL</t>
  </si>
  <si>
    <t>KOCRYPT</t>
  </si>
  <si>
    <t>LEYZONA</t>
  </si>
  <si>
    <t>KOSIFIC</t>
  </si>
  <si>
    <t>LISACTIVA</t>
  </si>
  <si>
    <t>TABPP01C</t>
  </si>
  <si>
    <t>KOFUAUTO</t>
  </si>
  <si>
    <t>SUENDOFI</t>
  </si>
  <si>
    <t>VAIVDOZF</t>
  </si>
  <si>
    <t>ENDOMANDA</t>
  </si>
  <si>
    <t>FLUVTCALZA</t>
  </si>
  <si>
    <t>ARCHIXML</t>
  </si>
  <si>
    <t>IDXML</t>
  </si>
  <si>
    <t>SERIENUDO</t>
  </si>
  <si>
    <t>VALORAJU</t>
  </si>
  <si>
    <t>PODETRAC</t>
  </si>
  <si>
    <t>DETRACCION</t>
  </si>
  <si>
    <t>TIPOOPCOM</t>
  </si>
  <si>
    <t>CREFIYAF</t>
  </si>
  <si>
    <t>NRODETRAC</t>
  </si>
  <si>
    <t>IDPDAENCA</t>
  </si>
  <si>
    <t>TIDEVE</t>
  </si>
  <si>
    <t>TIDEVEFE</t>
  </si>
  <si>
    <t>TIDEVEHO</t>
  </si>
  <si>
    <t>INSERT MAEDDO</t>
  </si>
  <si>
    <t>IDMAEDDO</t>
  </si>
  <si>
    <t>MAEEDO-&gt;IDMAEEDO</t>
  </si>
  <si>
    <t>ARCHIRST</t>
  </si>
  <si>
    <t>IDRST</t>
  </si>
  <si>
    <t>AL SER LA DIF. NEGATIVA ES GDI / SI ES POSITIVA GRI</t>
  </si>
  <si>
    <t>MAEEDO-&gt;NUDO</t>
  </si>
  <si>
    <t>SETEADO EN LA APP</t>
  </si>
  <si>
    <t>SUENDO</t>
  </si>
  <si>
    <t>LILG</t>
  </si>
  <si>
    <t>SI</t>
  </si>
  <si>
    <t>NULIDO</t>
  </si>
  <si>
    <t>00001</t>
  </si>
  <si>
    <t>SULIDO</t>
  </si>
  <si>
    <t>LUVTLIDO</t>
  </si>
  <si>
    <t>001</t>
  </si>
  <si>
    <t>CC</t>
  </si>
  <si>
    <t>005</t>
  </si>
  <si>
    <t>004</t>
  </si>
  <si>
    <t>TEMPORAL-&gt;CC</t>
  </si>
  <si>
    <t>BOSULIDO</t>
  </si>
  <si>
    <t>TEMPORAL-&gt;KOBO</t>
  </si>
  <si>
    <t>KOFULIDO</t>
  </si>
  <si>
    <t>NULILG</t>
  </si>
  <si>
    <t>PRCT</t>
  </si>
  <si>
    <t>TICT</t>
  </si>
  <si>
    <t>TIPR</t>
  </si>
  <si>
    <t>FPN</t>
  </si>
  <si>
    <t>NUSEPR</t>
  </si>
  <si>
    <t>KOPRCT</t>
  </si>
  <si>
    <t>TEMPORAL-&gt;SKU</t>
  </si>
  <si>
    <t>UDTRPR</t>
  </si>
  <si>
    <t>RLUD</t>
  </si>
  <si>
    <t>TEMPORAL-&gt;RLUD</t>
  </si>
  <si>
    <t>CAPTURA1</t>
  </si>
  <si>
    <t>CAPTURA2</t>
  </si>
  <si>
    <t>TEMPORAL-&gt;CAPTURA1</t>
  </si>
  <si>
    <t>CAPRAD1</t>
  </si>
  <si>
    <t>CAPREX1</t>
  </si>
  <si>
    <t>CAPRNC1</t>
  </si>
  <si>
    <t>CAPRCO2</t>
  </si>
  <si>
    <t>TEMPORAL-&gt;CAPTURA2</t>
  </si>
  <si>
    <t>CAPRAD2</t>
  </si>
  <si>
    <t>CAPREX2</t>
  </si>
  <si>
    <t>CAPRNC2</t>
  </si>
  <si>
    <t>TEMPORAL-&gt;UD02PR</t>
  </si>
  <si>
    <t>KOLTPR</t>
  </si>
  <si>
    <t>MOPPPR</t>
  </si>
  <si>
    <t>TIMOPPPR</t>
  </si>
  <si>
    <t>TAMOPPPR</t>
  </si>
  <si>
    <t>SE DEBE SETEAR EN LA APP</t>
  </si>
  <si>
    <t>PPPRNELT</t>
  </si>
  <si>
    <t>PPPRNE</t>
  </si>
  <si>
    <t>PPPRBRLT</t>
  </si>
  <si>
    <t>PPPRBR</t>
  </si>
  <si>
    <t>MAEPREM-&gt;PM</t>
  </si>
  <si>
    <t>PPPRNELT*1,19</t>
  </si>
  <si>
    <t>PPPRNE*1,19</t>
  </si>
  <si>
    <t>NUDTLI</t>
  </si>
  <si>
    <t>PODTGLLI</t>
  </si>
  <si>
    <t>VADEBRLI</t>
  </si>
  <si>
    <t>POIVLI</t>
  </si>
  <si>
    <t>VAIVLI</t>
  </si>
  <si>
    <t>PPPRNE*19%</t>
  </si>
  <si>
    <t>(WHERE MAEPREM-&gt;KOPR = TEMPORAL-&gt;SKU AND MAEPREM-&gt;EMPRESA = TEMPORAL-&gt;EMPRESA) es decimal</t>
  </si>
  <si>
    <t>es decimal</t>
  </si>
  <si>
    <t>VANELI</t>
  </si>
  <si>
    <t>PPPRNE*CAPRCO1</t>
  </si>
  <si>
    <t>redondeo</t>
  </si>
  <si>
    <t>es decimal (2)</t>
  </si>
  <si>
    <t>VABRLI</t>
  </si>
  <si>
    <t>VANELI*1,19</t>
  </si>
  <si>
    <t>TIGELI</t>
  </si>
  <si>
    <t>EMPREPA</t>
  </si>
  <si>
    <t>TIDOPA</t>
  </si>
  <si>
    <t>NUDOPA</t>
  </si>
  <si>
    <t>ENDOPA</t>
  </si>
  <si>
    <t>NULIDOPA</t>
  </si>
  <si>
    <t>LLEVADESP</t>
  </si>
  <si>
    <t>FEEMLI</t>
  </si>
  <si>
    <t>GETDAY()</t>
  </si>
  <si>
    <t>FEERLI</t>
  </si>
  <si>
    <t>PPPRPM</t>
  </si>
  <si>
    <t>OPERACIÓN</t>
  </si>
  <si>
    <t>CODMAQ</t>
  </si>
  <si>
    <t>ESLIDO</t>
  </si>
  <si>
    <t>PPPRNERE1</t>
  </si>
  <si>
    <t>(WHERE MAEPREM-&gt;KOPR = TEMPORAL-&gt;SKU AND MAEPREM-&gt;EMPRESA = TEMPORAL-&gt;EMPRESA) con redondeo</t>
  </si>
  <si>
    <t>PPPRNERE2</t>
  </si>
  <si>
    <t>ESFALI</t>
  </si>
  <si>
    <t>CAFACO</t>
  </si>
  <si>
    <t>CAFAAD</t>
  </si>
  <si>
    <t>CAFAEX</t>
  </si>
  <si>
    <t>CMLIDO</t>
  </si>
  <si>
    <t>NULOTE</t>
  </si>
  <si>
    <t>FVENLOTE</t>
  </si>
  <si>
    <t>ARPROD</t>
  </si>
  <si>
    <t>NULIPROD</t>
  </si>
  <si>
    <t>FCRELOTE</t>
  </si>
  <si>
    <t>SUBLOTE</t>
  </si>
  <si>
    <t>NOKOPR</t>
  </si>
  <si>
    <t>TEMPORAL-&gt;NOKOPR</t>
  </si>
  <si>
    <t>PRENDIDO</t>
  </si>
  <si>
    <t>OBSERVA</t>
  </si>
  <si>
    <t>KOFUAULIDO</t>
  </si>
  <si>
    <t>KOOPLIDO</t>
  </si>
  <si>
    <t>MGLTPR</t>
  </si>
  <si>
    <t>PPOPPR</t>
  </si>
  <si>
    <t>TIPOMG</t>
  </si>
  <si>
    <t>ESPRODLI</t>
  </si>
  <si>
    <t>CAPRODCO</t>
  </si>
  <si>
    <t>CAPRODAD</t>
  </si>
  <si>
    <t>CAPRODEX</t>
  </si>
  <si>
    <t>CAPRODRE</t>
  </si>
  <si>
    <t>TASADORIG</t>
  </si>
  <si>
    <t>SEMILLA</t>
  </si>
  <si>
    <t>POTENCIA</t>
  </si>
  <si>
    <t>HUMEDAD</t>
  </si>
  <si>
    <t>IDTABITPRE</t>
  </si>
  <si>
    <t>IDODDGDV</t>
  </si>
  <si>
    <t>LINCONDESP</t>
  </si>
  <si>
    <t>PODEIVLI</t>
  </si>
  <si>
    <t>VADEIVLI</t>
  </si>
  <si>
    <t>PRIIDETIQ</t>
  </si>
  <si>
    <t>KOLORESCA</t>
  </si>
  <si>
    <t>KOENVASE</t>
  </si>
  <si>
    <t>PPPRPMSUC</t>
  </si>
  <si>
    <t>PPPRPMIFRS</t>
  </si>
  <si>
    <t>COSTOTRIB</t>
  </si>
  <si>
    <t>COSTOIFRS</t>
  </si>
  <si>
    <t>COMISION</t>
  </si>
  <si>
    <t>FEERLIMODI</t>
  </si>
  <si>
    <t>Al buscar por codigo o nombre</t>
  </si>
  <si>
    <t>SKU=MAEPR-&gt;KOPR</t>
  </si>
  <si>
    <t>PRODUCTO= MAEPR-&gt;NOKOPR</t>
  </si>
  <si>
    <t>Busqueda en MAEPR-&gt;KOPR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</si>
</sst>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/>
    <xf numFmtId="0" fontId="0" fillId="2" borderId="0" xfId="0" applyFill="1"/>
    <xf numFmtId="0" fontId="0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/>
    <xf numFmtId="0" fontId="0" fillId="2" borderId="2" xfId="0" applyFill="1" applyBorder="1"/>
    <xf numFmtId="0" fontId="0" fillId="0" borderId="1" xfId="0" applyFill="1" applyBorder="1"/>
    <xf numFmtId="0" fontId="0" fillId="0" borderId="0" xfId="0" applyAlignment="1">
      <alignment horizontal="center" vertical="center" wrapText="1"/>
    </xf>
    <xf numFmtId="0" fontId="0" fillId="0" borderId="1" xfId="0" applyFont="1" applyBorder="1"/>
    <xf numFmtId="0" fontId="1" fillId="0" borderId="1" xfId="0" applyFont="1" applyBorder="1"/>
    <xf numFmtId="0" fontId="0" fillId="2" borderId="0" xfId="0" applyFill="1" applyAlignment="1">
      <alignment horizontal="left"/>
    </xf>
    <xf numFmtId="0" fontId="0" fillId="2" borderId="1" xfId="0" applyFill="1" applyBorder="1" applyAlignme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6" xfId="0" applyFill="1" applyBorder="1"/>
    <xf numFmtId="0" fontId="0" fillId="0" borderId="1" xfId="0" quotePrefix="1" applyFill="1" applyBorder="1"/>
    <xf numFmtId="0" fontId="0" fillId="2" borderId="5" xfId="0" applyFill="1" applyBorder="1" applyAlignment="1">
      <alignment horizontal="center"/>
    </xf>
    <xf numFmtId="0" fontId="0" fillId="0" borderId="0" xfId="0" applyFill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</xdr:row>
      <xdr:rowOff>85725</xdr:rowOff>
    </xdr:from>
    <xdr:to>
      <xdr:col>2</xdr:col>
      <xdr:colOff>647701</xdr:colOff>
      <xdr:row>7</xdr:row>
      <xdr:rowOff>104775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259662A-6A97-7A1F-D425-4C093B804A01}"/>
            </a:ext>
          </a:extLst>
        </xdr:cNvPr>
        <xdr:cNvSpPr/>
      </xdr:nvSpPr>
      <xdr:spPr>
        <a:xfrm>
          <a:off x="847725" y="276225"/>
          <a:ext cx="1323976" cy="11620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200025</xdr:colOff>
      <xdr:row>2</xdr:row>
      <xdr:rowOff>19050</xdr:rowOff>
    </xdr:from>
    <xdr:to>
      <xdr:col>2</xdr:col>
      <xdr:colOff>523875</xdr:colOff>
      <xdr:row>3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C8B3603-3B3B-D1E2-A89A-722555368B14}"/>
            </a:ext>
          </a:extLst>
        </xdr:cNvPr>
        <xdr:cNvSpPr/>
      </xdr:nvSpPr>
      <xdr:spPr>
        <a:xfrm>
          <a:off x="962025" y="400050"/>
          <a:ext cx="1085850" cy="3429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L" sz="1100"/>
            <a:t>USUARIO</a:t>
          </a:r>
        </a:p>
      </xdr:txBody>
    </xdr:sp>
    <xdr:clientData/>
  </xdr:twoCellAnchor>
  <xdr:twoCellAnchor>
    <xdr:from>
      <xdr:col>1</xdr:col>
      <xdr:colOff>190500</xdr:colOff>
      <xdr:row>5</xdr:row>
      <xdr:rowOff>19050</xdr:rowOff>
    </xdr:from>
    <xdr:to>
      <xdr:col>2</xdr:col>
      <xdr:colOff>514350</xdr:colOff>
      <xdr:row>6</xdr:row>
      <xdr:rowOff>171450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BBF7069-FBEC-4912-AE04-CCABF4388FA8}"/>
            </a:ext>
          </a:extLst>
        </xdr:cNvPr>
        <xdr:cNvSpPr/>
      </xdr:nvSpPr>
      <xdr:spPr>
        <a:xfrm>
          <a:off x="952500" y="971550"/>
          <a:ext cx="1085850" cy="3429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L" sz="1100"/>
            <a:t>CLAVE</a:t>
          </a:r>
        </a:p>
      </xdr:txBody>
    </xdr:sp>
    <xdr:clientData/>
  </xdr:twoCellAnchor>
  <xdr:twoCellAnchor>
    <xdr:from>
      <xdr:col>1</xdr:col>
      <xdr:colOff>104775</xdr:colOff>
      <xdr:row>9</xdr:row>
      <xdr:rowOff>0</xdr:rowOff>
    </xdr:from>
    <xdr:to>
      <xdr:col>2</xdr:col>
      <xdr:colOff>666751</xdr:colOff>
      <xdr:row>15</xdr:row>
      <xdr:rowOff>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2DB84D3-9B44-4B2C-928A-0B928774648C}"/>
            </a:ext>
          </a:extLst>
        </xdr:cNvPr>
        <xdr:cNvSpPr/>
      </xdr:nvSpPr>
      <xdr:spPr>
        <a:xfrm>
          <a:off x="866775" y="1714500"/>
          <a:ext cx="1323976" cy="11620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200025</xdr:colOff>
      <xdr:row>9</xdr:row>
      <xdr:rowOff>133350</xdr:rowOff>
    </xdr:from>
    <xdr:to>
      <xdr:col>2</xdr:col>
      <xdr:colOff>523875</xdr:colOff>
      <xdr:row>11</xdr:row>
      <xdr:rowOff>95250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513EBEF-4894-4BDB-87C0-D15D12D877CF}"/>
            </a:ext>
          </a:extLst>
        </xdr:cNvPr>
        <xdr:cNvSpPr/>
      </xdr:nvSpPr>
      <xdr:spPr>
        <a:xfrm>
          <a:off x="962025" y="1847850"/>
          <a:ext cx="1085850" cy="3429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L" sz="1100"/>
            <a:t>BODEGA</a:t>
          </a:r>
        </a:p>
      </xdr:txBody>
    </xdr:sp>
    <xdr:clientData/>
  </xdr:twoCellAnchor>
  <xdr:twoCellAnchor>
    <xdr:from>
      <xdr:col>1</xdr:col>
      <xdr:colOff>209550</xdr:colOff>
      <xdr:row>12</xdr:row>
      <xdr:rowOff>114300</xdr:rowOff>
    </xdr:from>
    <xdr:to>
      <xdr:col>2</xdr:col>
      <xdr:colOff>533400</xdr:colOff>
      <xdr:row>14</xdr:row>
      <xdr:rowOff>76200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E604540-6439-4BA5-81DF-63F897A637B3}"/>
            </a:ext>
          </a:extLst>
        </xdr:cNvPr>
        <xdr:cNvSpPr/>
      </xdr:nvSpPr>
      <xdr:spPr>
        <a:xfrm>
          <a:off x="971550" y="2400300"/>
          <a:ext cx="1085850" cy="3429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L" sz="1100"/>
            <a:t>UBICACION</a:t>
          </a:r>
        </a:p>
      </xdr:txBody>
    </xdr:sp>
    <xdr:clientData/>
  </xdr:twoCellAnchor>
  <xdr:twoCellAnchor>
    <xdr:from>
      <xdr:col>3</xdr:col>
      <xdr:colOff>152400</xdr:colOff>
      <xdr:row>10</xdr:row>
      <xdr:rowOff>85725</xdr:rowOff>
    </xdr:from>
    <xdr:to>
      <xdr:col>3</xdr:col>
      <xdr:colOff>666750</xdr:colOff>
      <xdr:row>10</xdr:row>
      <xdr:rowOff>85725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151DA4F1-626A-C074-7546-332D5757E1D2}"/>
            </a:ext>
          </a:extLst>
        </xdr:cNvPr>
        <xdr:cNvCxnSpPr/>
      </xdr:nvCxnSpPr>
      <xdr:spPr>
        <a:xfrm>
          <a:off x="2438400" y="1990725"/>
          <a:ext cx="5143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13</xdr:row>
      <xdr:rowOff>85725</xdr:rowOff>
    </xdr:from>
    <xdr:to>
      <xdr:col>3</xdr:col>
      <xdr:colOff>666750</xdr:colOff>
      <xdr:row>13</xdr:row>
      <xdr:rowOff>85725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333C4307-AA57-48EE-A07B-2E4714B8023E}"/>
            </a:ext>
          </a:extLst>
        </xdr:cNvPr>
        <xdr:cNvCxnSpPr/>
      </xdr:nvCxnSpPr>
      <xdr:spPr>
        <a:xfrm>
          <a:off x="2438400" y="2390775"/>
          <a:ext cx="5143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16</xdr:row>
      <xdr:rowOff>114300</xdr:rowOff>
    </xdr:from>
    <xdr:to>
      <xdr:col>2</xdr:col>
      <xdr:colOff>685801</xdr:colOff>
      <xdr:row>25</xdr:row>
      <xdr:rowOff>133350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A3DE9481-14F6-464D-9BCE-E4DD4D179A67}"/>
            </a:ext>
          </a:extLst>
        </xdr:cNvPr>
        <xdr:cNvSpPr/>
      </xdr:nvSpPr>
      <xdr:spPr>
        <a:xfrm>
          <a:off x="885825" y="3371850"/>
          <a:ext cx="1323976" cy="11620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238125</xdr:colOff>
      <xdr:row>17</xdr:row>
      <xdr:rowOff>47625</xdr:rowOff>
    </xdr:from>
    <xdr:to>
      <xdr:col>2</xdr:col>
      <xdr:colOff>561975</xdr:colOff>
      <xdr:row>19</xdr:row>
      <xdr:rowOff>9525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AA5C681-8316-436E-98B8-6AC7A65DD2CC}"/>
            </a:ext>
          </a:extLst>
        </xdr:cNvPr>
        <xdr:cNvSpPr/>
      </xdr:nvSpPr>
      <xdr:spPr>
        <a:xfrm>
          <a:off x="1000125" y="3495675"/>
          <a:ext cx="1085850" cy="3429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L" sz="1100"/>
            <a:t>BARRIDO</a:t>
          </a:r>
        </a:p>
      </xdr:txBody>
    </xdr:sp>
    <xdr:clientData/>
  </xdr:twoCellAnchor>
  <xdr:twoCellAnchor>
    <xdr:from>
      <xdr:col>1</xdr:col>
      <xdr:colOff>228600</xdr:colOff>
      <xdr:row>23</xdr:row>
      <xdr:rowOff>66675</xdr:rowOff>
    </xdr:from>
    <xdr:to>
      <xdr:col>2</xdr:col>
      <xdr:colOff>552450</xdr:colOff>
      <xdr:row>25</xdr:row>
      <xdr:rowOff>9524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9A837617-DDE0-4EC2-B334-6C3720E1CE69}"/>
            </a:ext>
          </a:extLst>
        </xdr:cNvPr>
        <xdr:cNvSpPr/>
      </xdr:nvSpPr>
      <xdr:spPr>
        <a:xfrm>
          <a:off x="990600" y="4657725"/>
          <a:ext cx="1085850" cy="323849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L" sz="1100"/>
            <a:t>ON</a:t>
          </a:r>
          <a:r>
            <a:rPr lang="es-CL" sz="1100" baseline="0"/>
            <a:t> LINE</a:t>
          </a:r>
          <a:endParaRPr lang="es-CL" sz="1100"/>
        </a:p>
      </xdr:txBody>
    </xdr:sp>
    <xdr:clientData/>
  </xdr:twoCellAnchor>
  <xdr:twoCellAnchor>
    <xdr:from>
      <xdr:col>3</xdr:col>
      <xdr:colOff>133350</xdr:colOff>
      <xdr:row>18</xdr:row>
      <xdr:rowOff>85725</xdr:rowOff>
    </xdr:from>
    <xdr:to>
      <xdr:col>3</xdr:col>
      <xdr:colOff>647700</xdr:colOff>
      <xdr:row>18</xdr:row>
      <xdr:rowOff>85725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5B9933A1-618A-4AE1-A5BF-2F0105381F21}"/>
            </a:ext>
          </a:extLst>
        </xdr:cNvPr>
        <xdr:cNvCxnSpPr/>
      </xdr:nvCxnSpPr>
      <xdr:spPr>
        <a:xfrm>
          <a:off x="2419350" y="3724275"/>
          <a:ext cx="5143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24</xdr:row>
      <xdr:rowOff>104775</xdr:rowOff>
    </xdr:from>
    <xdr:to>
      <xdr:col>3</xdr:col>
      <xdr:colOff>657225</xdr:colOff>
      <xdr:row>24</xdr:row>
      <xdr:rowOff>104775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3D0409-F624-4BC1-BF29-2270CEF1FA69}"/>
            </a:ext>
          </a:extLst>
        </xdr:cNvPr>
        <xdr:cNvCxnSpPr/>
      </xdr:nvCxnSpPr>
      <xdr:spPr>
        <a:xfrm>
          <a:off x="2428875" y="4886325"/>
          <a:ext cx="5143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2</xdr:row>
      <xdr:rowOff>95250</xdr:rowOff>
    </xdr:from>
    <xdr:to>
      <xdr:col>3</xdr:col>
      <xdr:colOff>657225</xdr:colOff>
      <xdr:row>2</xdr:row>
      <xdr:rowOff>95250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FA390995-12E7-4E10-8B92-E2DB46A7A608}"/>
            </a:ext>
          </a:extLst>
        </xdr:cNvPr>
        <xdr:cNvCxnSpPr/>
      </xdr:nvCxnSpPr>
      <xdr:spPr>
        <a:xfrm>
          <a:off x="2428875" y="409575"/>
          <a:ext cx="5143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190499</xdr:rowOff>
    </xdr:from>
    <xdr:to>
      <xdr:col>6</xdr:col>
      <xdr:colOff>552450</xdr:colOff>
      <xdr:row>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C40BD86-D128-466B-810C-17DB9304BFE5}"/>
            </a:ext>
          </a:extLst>
        </xdr:cNvPr>
        <xdr:cNvSpPr/>
      </xdr:nvSpPr>
      <xdr:spPr>
        <a:xfrm>
          <a:off x="762000" y="190499"/>
          <a:ext cx="4362450" cy="15430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95250</xdr:colOff>
      <xdr:row>1</xdr:row>
      <xdr:rowOff>133350</xdr:rowOff>
    </xdr:from>
    <xdr:to>
      <xdr:col>2</xdr:col>
      <xdr:colOff>419100</xdr:colOff>
      <xdr:row>3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9711782-C0AE-4006-B840-6690E4445101}"/>
            </a:ext>
          </a:extLst>
        </xdr:cNvPr>
        <xdr:cNvSpPr/>
      </xdr:nvSpPr>
      <xdr:spPr>
        <a:xfrm>
          <a:off x="857250" y="323850"/>
          <a:ext cx="1085850" cy="3429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SKU</a:t>
          </a:r>
          <a:r>
            <a:rPr lang="es-CL" sz="1100" baseline="0"/>
            <a:t> O BARRA</a:t>
          </a:r>
          <a:endParaRPr lang="es-CL" sz="1100"/>
        </a:p>
      </xdr:txBody>
    </xdr:sp>
    <xdr:clientData/>
  </xdr:twoCellAnchor>
  <xdr:twoCellAnchor>
    <xdr:from>
      <xdr:col>1</xdr:col>
      <xdr:colOff>104775</xdr:colOff>
      <xdr:row>4</xdr:row>
      <xdr:rowOff>9525</xdr:rowOff>
    </xdr:from>
    <xdr:to>
      <xdr:col>6</xdr:col>
      <xdr:colOff>295275</xdr:colOff>
      <xdr:row>5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C2C6472-5B0E-4FA2-89DA-D5CD269E13AA}"/>
            </a:ext>
          </a:extLst>
        </xdr:cNvPr>
        <xdr:cNvSpPr/>
      </xdr:nvSpPr>
      <xdr:spPr>
        <a:xfrm>
          <a:off x="866775" y="771525"/>
          <a:ext cx="4000500" cy="3429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PRODUCTO</a:t>
          </a:r>
        </a:p>
      </xdr:txBody>
    </xdr:sp>
    <xdr:clientData/>
  </xdr:twoCellAnchor>
  <xdr:twoCellAnchor>
    <xdr:from>
      <xdr:col>1</xdr:col>
      <xdr:colOff>104775</xdr:colOff>
      <xdr:row>6</xdr:row>
      <xdr:rowOff>95249</xdr:rowOff>
    </xdr:from>
    <xdr:to>
      <xdr:col>2</xdr:col>
      <xdr:colOff>428625</xdr:colOff>
      <xdr:row>8</xdr:row>
      <xdr:rowOff>57149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C50B57F-2A03-4C13-A081-698087C60B76}"/>
            </a:ext>
          </a:extLst>
        </xdr:cNvPr>
        <xdr:cNvSpPr/>
      </xdr:nvSpPr>
      <xdr:spPr>
        <a:xfrm>
          <a:off x="866775" y="1238249"/>
          <a:ext cx="1085850" cy="3429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CANTIDAD</a:t>
          </a:r>
        </a:p>
      </xdr:txBody>
    </xdr:sp>
    <xdr:clientData/>
  </xdr:twoCellAnchor>
  <xdr:twoCellAnchor>
    <xdr:from>
      <xdr:col>5</xdr:col>
      <xdr:colOff>9526</xdr:colOff>
      <xdr:row>6</xdr:row>
      <xdr:rowOff>104775</xdr:rowOff>
    </xdr:from>
    <xdr:to>
      <xdr:col>6</xdr:col>
      <xdr:colOff>323851</xdr:colOff>
      <xdr:row>8</xdr:row>
      <xdr:rowOff>0</xdr:rowOff>
    </xdr:to>
    <xdr:sp macro="" textlink="">
      <xdr:nvSpPr>
        <xdr:cNvPr id="6" name="Flecha: cheurón 5">
          <a:extLst>
            <a:ext uri="{FF2B5EF4-FFF2-40B4-BE49-F238E27FC236}">
              <a16:creationId xmlns:a16="http://schemas.microsoft.com/office/drawing/2014/main" id="{96041B4F-D579-C29C-B221-C5DBAB729257}"/>
            </a:ext>
          </a:extLst>
        </xdr:cNvPr>
        <xdr:cNvSpPr/>
      </xdr:nvSpPr>
      <xdr:spPr>
        <a:xfrm>
          <a:off x="5981701" y="1247775"/>
          <a:ext cx="914400" cy="276225"/>
        </a:xfrm>
        <a:prstGeom prst="chevron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>
              <a:solidFill>
                <a:schemeClr val="tx1"/>
              </a:solidFill>
            </a:rPr>
            <a:t>Grabar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2419-13E6-4F26-9216-E51135BC2512}">
  <dimension ref="B1:E26"/>
  <sheetViews>
    <sheetView workbookViewId="0">
      <selection activeCell="E33" sqref="E33"/>
    </sheetView>
  </sheetViews>
  <sheetFormatPr baseColWidth="10" defaultRowHeight="15" x14ac:dyDescent="0.25"/>
  <cols>
    <col min="5" max="5" width="114.85546875" bestFit="1" customWidth="1"/>
  </cols>
  <sheetData>
    <row r="1" spans="5:5" ht="9.75" customHeight="1" x14ac:dyDescent="0.25"/>
    <row r="3" spans="5:5" x14ac:dyDescent="0.25">
      <c r="E3" t="s">
        <v>157</v>
      </c>
    </row>
    <row r="9" spans="5:5" ht="6.75" customHeight="1" x14ac:dyDescent="0.25"/>
    <row r="11" spans="5:5" x14ac:dyDescent="0.25">
      <c r="E11" t="s">
        <v>18</v>
      </c>
    </row>
    <row r="14" spans="5:5" x14ac:dyDescent="0.25">
      <c r="E14" t="s">
        <v>19</v>
      </c>
    </row>
    <row r="15" spans="5:5" x14ac:dyDescent="0.25">
      <c r="E15" t="s">
        <v>35</v>
      </c>
    </row>
    <row r="16" spans="5:5" x14ac:dyDescent="0.25">
      <c r="E16" t="s">
        <v>29</v>
      </c>
    </row>
    <row r="18" spans="2:5" x14ac:dyDescent="0.25">
      <c r="B18" s="6"/>
      <c r="C18" s="6"/>
    </row>
    <row r="19" spans="2:5" x14ac:dyDescent="0.25">
      <c r="E19" t="s">
        <v>32</v>
      </c>
    </row>
    <row r="20" spans="2:5" x14ac:dyDescent="0.25">
      <c r="E20" t="s">
        <v>33</v>
      </c>
    </row>
    <row r="21" spans="2:5" x14ac:dyDescent="0.25">
      <c r="E21" t="s">
        <v>31</v>
      </c>
    </row>
    <row r="22" spans="2:5" x14ac:dyDescent="0.25">
      <c r="E22" t="s">
        <v>34</v>
      </c>
    </row>
    <row r="24" spans="2:5" x14ac:dyDescent="0.25">
      <c r="E24" t="s">
        <v>36</v>
      </c>
    </row>
    <row r="25" spans="2:5" x14ac:dyDescent="0.25">
      <c r="E25" t="s">
        <v>37</v>
      </c>
    </row>
    <row r="26" spans="2:5" x14ac:dyDescent="0.25">
      <c r="E26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0379-98C3-4688-AD8E-474A14FE577C}">
  <dimension ref="B2:J50"/>
  <sheetViews>
    <sheetView tabSelected="1" workbookViewId="0">
      <selection activeCell="E23" sqref="E23"/>
    </sheetView>
  </sheetViews>
  <sheetFormatPr baseColWidth="10" defaultRowHeight="15" x14ac:dyDescent="0.25"/>
  <cols>
    <col min="2" max="2" width="12.42578125" bestFit="1" customWidth="1"/>
    <col min="4" max="4" width="47.7109375" bestFit="1" customWidth="1"/>
    <col min="5" max="5" width="22.28515625" bestFit="1" customWidth="1"/>
    <col min="6" max="6" width="9" bestFit="1" customWidth="1"/>
    <col min="7" max="7" width="4.7109375" bestFit="1" customWidth="1"/>
    <col min="9" max="9" width="88.7109375" bestFit="1" customWidth="1"/>
    <col min="10" max="10" width="41.28515625" bestFit="1" customWidth="1"/>
  </cols>
  <sheetData>
    <row r="2" spans="2:10" x14ac:dyDescent="0.25">
      <c r="I2" s="4" t="s">
        <v>120</v>
      </c>
      <c r="J2" s="9" t="s">
        <v>153</v>
      </c>
    </row>
    <row r="3" spans="2:10" x14ac:dyDescent="0.25">
      <c r="I3" s="9" t="s">
        <v>100</v>
      </c>
    </row>
    <row r="4" spans="2:10" x14ac:dyDescent="0.25">
      <c r="I4" s="7" t="s">
        <v>102</v>
      </c>
      <c r="J4" s="7" t="s">
        <v>101</v>
      </c>
    </row>
    <row r="5" spans="2:10" x14ac:dyDescent="0.25">
      <c r="I5" s="7" t="s">
        <v>103</v>
      </c>
      <c r="J5" s="7" t="s">
        <v>104</v>
      </c>
    </row>
    <row r="6" spans="2:10" x14ac:dyDescent="0.25">
      <c r="I6" s="7" t="s">
        <v>106</v>
      </c>
      <c r="J6" s="7" t="s">
        <v>105</v>
      </c>
    </row>
    <row r="7" spans="2:10" x14ac:dyDescent="0.25">
      <c r="I7" s="7" t="s">
        <v>107</v>
      </c>
      <c r="J7" s="7" t="s">
        <v>108</v>
      </c>
    </row>
    <row r="8" spans="2:10" x14ac:dyDescent="0.25">
      <c r="I8" s="7" t="s">
        <v>109</v>
      </c>
      <c r="J8" s="17">
        <v>100</v>
      </c>
    </row>
    <row r="10" spans="2:10" x14ac:dyDescent="0.25">
      <c r="I10" s="4" t="s">
        <v>110</v>
      </c>
    </row>
    <row r="11" spans="2:10" x14ac:dyDescent="0.25">
      <c r="B11" s="4" t="s">
        <v>39</v>
      </c>
    </row>
    <row r="12" spans="2:10" x14ac:dyDescent="0.25">
      <c r="B12" s="4" t="s">
        <v>40</v>
      </c>
      <c r="I12" s="7" t="s">
        <v>113</v>
      </c>
      <c r="J12" s="11">
        <v>1000</v>
      </c>
    </row>
    <row r="13" spans="2:10" x14ac:dyDescent="0.25">
      <c r="B13" s="4">
        <v>1</v>
      </c>
      <c r="C13" s="34" t="s">
        <v>41</v>
      </c>
      <c r="D13" s="34"/>
      <c r="I13" s="7" t="s">
        <v>111</v>
      </c>
      <c r="J13" s="11">
        <v>1000</v>
      </c>
    </row>
    <row r="14" spans="2:10" x14ac:dyDescent="0.25">
      <c r="B14" s="4"/>
      <c r="C14" s="4">
        <v>1</v>
      </c>
      <c r="D14" s="8" t="s">
        <v>96</v>
      </c>
      <c r="I14" s="7" t="s">
        <v>112</v>
      </c>
      <c r="J14" s="11">
        <f>+J13/J8</f>
        <v>10</v>
      </c>
    </row>
    <row r="15" spans="2:10" x14ac:dyDescent="0.25">
      <c r="B15" s="4"/>
      <c r="D15" t="s">
        <v>97</v>
      </c>
    </row>
    <row r="16" spans="2:10" x14ac:dyDescent="0.25">
      <c r="B16" s="4"/>
      <c r="D16" t="s">
        <v>98</v>
      </c>
    </row>
    <row r="17" spans="2:9" x14ac:dyDescent="0.25">
      <c r="B17" s="4"/>
      <c r="D17" t="s">
        <v>99</v>
      </c>
    </row>
    <row r="18" spans="2:9" x14ac:dyDescent="0.25">
      <c r="B18" s="4"/>
    </row>
    <row r="19" spans="2:9" x14ac:dyDescent="0.25">
      <c r="B19" s="4">
        <v>2</v>
      </c>
      <c r="C19" s="34" t="s">
        <v>405</v>
      </c>
      <c r="D19" s="34"/>
    </row>
    <row r="20" spans="2:9" x14ac:dyDescent="0.25">
      <c r="B20" s="4"/>
      <c r="C20" s="4">
        <v>1</v>
      </c>
      <c r="D20" s="8" t="s">
        <v>408</v>
      </c>
    </row>
    <row r="21" spans="2:9" x14ac:dyDescent="0.25">
      <c r="B21" s="4"/>
      <c r="D21" t="s">
        <v>406</v>
      </c>
    </row>
    <row r="22" spans="2:9" x14ac:dyDescent="0.25">
      <c r="B22" s="4"/>
      <c r="D22" t="s">
        <v>407</v>
      </c>
    </row>
    <row r="23" spans="2:9" x14ac:dyDescent="0.25">
      <c r="B23" s="4"/>
      <c r="D23" t="s">
        <v>99</v>
      </c>
    </row>
    <row r="24" spans="2:9" x14ac:dyDescent="0.25">
      <c r="B24" s="4"/>
    </row>
    <row r="25" spans="2:9" x14ac:dyDescent="0.25">
      <c r="B25" s="4">
        <v>3</v>
      </c>
      <c r="C25" s="34" t="s">
        <v>130</v>
      </c>
    </row>
    <row r="26" spans="2:9" x14ac:dyDescent="0.25">
      <c r="C26" s="4"/>
      <c r="D26" s="4" t="s">
        <v>121</v>
      </c>
    </row>
    <row r="27" spans="2:9" x14ac:dyDescent="0.25">
      <c r="D27" s="9" t="s">
        <v>128</v>
      </c>
    </row>
    <row r="28" spans="2:9" x14ac:dyDescent="0.25">
      <c r="D28" s="8" t="s">
        <v>118</v>
      </c>
    </row>
    <row r="29" spans="2:9" x14ac:dyDescent="0.25">
      <c r="D29" s="8" t="s">
        <v>119</v>
      </c>
    </row>
    <row r="30" spans="2:9" x14ac:dyDescent="0.25">
      <c r="D30" s="8"/>
      <c r="E30" s="10" t="s">
        <v>116</v>
      </c>
      <c r="F30" s="10" t="s">
        <v>30</v>
      </c>
      <c r="G30" s="10" t="s">
        <v>117</v>
      </c>
    </row>
    <row r="31" spans="2:9" ht="30" x14ac:dyDescent="0.25">
      <c r="D31" s="15" t="s">
        <v>114</v>
      </c>
      <c r="E31" s="16">
        <v>1200</v>
      </c>
      <c r="F31" s="16">
        <v>1000</v>
      </c>
      <c r="G31" s="16">
        <f>+F31-E31</f>
        <v>-200</v>
      </c>
      <c r="I31" s="14" t="s">
        <v>133</v>
      </c>
    </row>
    <row r="32" spans="2:9" ht="30" x14ac:dyDescent="0.25">
      <c r="D32" s="15" t="s">
        <v>115</v>
      </c>
      <c r="E32" s="16">
        <v>120</v>
      </c>
      <c r="F32" s="16">
        <v>100</v>
      </c>
      <c r="G32" s="16">
        <f>+F32-E32</f>
        <v>-20</v>
      </c>
      <c r="I32" s="14" t="s">
        <v>123</v>
      </c>
    </row>
    <row r="33" spans="4:7" x14ac:dyDescent="0.25">
      <c r="D33" s="8"/>
      <c r="E33" s="4"/>
      <c r="F33" s="4"/>
      <c r="G33" s="4"/>
    </row>
    <row r="34" spans="4:7" x14ac:dyDescent="0.25">
      <c r="D34" s="9" t="s">
        <v>129</v>
      </c>
    </row>
    <row r="35" spans="4:7" x14ac:dyDescent="0.25">
      <c r="D35" s="15" t="s">
        <v>114</v>
      </c>
      <c r="E35" s="16">
        <v>1000</v>
      </c>
    </row>
    <row r="36" spans="4:7" x14ac:dyDescent="0.25">
      <c r="D36" s="15" t="s">
        <v>115</v>
      </c>
      <c r="E36" s="16">
        <v>100</v>
      </c>
    </row>
    <row r="38" spans="4:7" x14ac:dyDescent="0.25">
      <c r="D38" s="9" t="s">
        <v>131</v>
      </c>
    </row>
    <row r="39" spans="4:7" x14ac:dyDescent="0.25">
      <c r="D39" s="15" t="s">
        <v>132</v>
      </c>
      <c r="E39" s="15" t="s">
        <v>134</v>
      </c>
    </row>
    <row r="40" spans="4:7" x14ac:dyDescent="0.25">
      <c r="D40" s="15" t="s">
        <v>135</v>
      </c>
      <c r="E40" s="15" t="s">
        <v>136</v>
      </c>
    </row>
    <row r="42" spans="4:7" x14ac:dyDescent="0.25">
      <c r="D42" s="9" t="s">
        <v>137</v>
      </c>
    </row>
    <row r="43" spans="4:7" x14ac:dyDescent="0.25">
      <c r="D43" s="15" t="s">
        <v>138</v>
      </c>
      <c r="E43" s="15" t="s">
        <v>140</v>
      </c>
    </row>
    <row r="44" spans="4:7" x14ac:dyDescent="0.25">
      <c r="D44" s="15" t="s">
        <v>139</v>
      </c>
      <c r="E44" s="15" t="s">
        <v>141</v>
      </c>
    </row>
    <row r="46" spans="4:7" x14ac:dyDescent="0.25">
      <c r="D46" s="9" t="s">
        <v>142</v>
      </c>
    </row>
    <row r="47" spans="4:7" x14ac:dyDescent="0.25">
      <c r="D47" t="s">
        <v>193</v>
      </c>
    </row>
    <row r="49" spans="4:4" x14ac:dyDescent="0.25">
      <c r="D49" s="9" t="s">
        <v>273</v>
      </c>
    </row>
    <row r="50" spans="4:4" x14ac:dyDescent="0.25">
      <c r="D50" t="s">
        <v>193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B286-6462-4924-83F1-A5C5A4039987}">
  <dimension ref="A1:C97"/>
  <sheetViews>
    <sheetView showGridLines="0" workbookViewId="0">
      <pane ySplit="1" topLeftCell="A14" activePane="bottomLeft" state="frozen"/>
      <selection pane="bottomLeft" activeCell="C36" sqref="C36:C37"/>
    </sheetView>
  </sheetViews>
  <sheetFormatPr baseColWidth="10" defaultRowHeight="15" x14ac:dyDescent="0.25"/>
  <cols>
    <col min="1" max="1" width="12.85546875" bestFit="1" customWidth="1"/>
    <col min="2" max="2" width="24.85546875" style="5" bestFit="1" customWidth="1"/>
    <col min="3" max="3" width="46.28515625" bestFit="1" customWidth="1"/>
  </cols>
  <sheetData>
    <row r="1" spans="1:3" x14ac:dyDescent="0.25">
      <c r="A1" s="22" t="s">
        <v>191</v>
      </c>
      <c r="B1" s="23" t="s">
        <v>192</v>
      </c>
    </row>
    <row r="2" spans="1:3" x14ac:dyDescent="0.25">
      <c r="A2" s="1" t="s">
        <v>143</v>
      </c>
      <c r="B2" s="24" t="s">
        <v>151</v>
      </c>
    </row>
    <row r="3" spans="1:3" x14ac:dyDescent="0.25">
      <c r="A3" s="1" t="s">
        <v>0</v>
      </c>
      <c r="B3" s="24" t="s">
        <v>169</v>
      </c>
    </row>
    <row r="4" spans="1:3" x14ac:dyDescent="0.25">
      <c r="A4" s="1" t="s">
        <v>144</v>
      </c>
      <c r="B4" s="24" t="s">
        <v>171</v>
      </c>
      <c r="C4" t="s">
        <v>278</v>
      </c>
    </row>
    <row r="5" spans="1:3" x14ac:dyDescent="0.25">
      <c r="A5" s="1" t="s">
        <v>145</v>
      </c>
      <c r="B5" s="24" t="s">
        <v>172</v>
      </c>
    </row>
    <row r="6" spans="1:3" x14ac:dyDescent="0.25">
      <c r="A6" s="1" t="s">
        <v>146</v>
      </c>
      <c r="B6" s="24" t="s">
        <v>173</v>
      </c>
      <c r="C6" t="s">
        <v>280</v>
      </c>
    </row>
    <row r="7" spans="1:3" x14ac:dyDescent="0.25">
      <c r="A7" s="1" t="s">
        <v>6</v>
      </c>
      <c r="B7" s="24" t="s">
        <v>174</v>
      </c>
    </row>
    <row r="8" spans="1:3" x14ac:dyDescent="0.25">
      <c r="A8" s="1" t="s">
        <v>147</v>
      </c>
      <c r="B8" s="24" t="s">
        <v>175</v>
      </c>
    </row>
    <row r="9" spans="1:3" x14ac:dyDescent="0.25">
      <c r="A9" s="1" t="s">
        <v>148</v>
      </c>
      <c r="B9" s="24" t="s">
        <v>176</v>
      </c>
    </row>
    <row r="10" spans="1:3" x14ac:dyDescent="0.25">
      <c r="A10" s="1" t="s">
        <v>149</v>
      </c>
      <c r="B10" s="24" t="s">
        <v>170</v>
      </c>
    </row>
    <row r="11" spans="1:3" x14ac:dyDescent="0.25">
      <c r="A11" s="1" t="s">
        <v>150</v>
      </c>
      <c r="B11" s="24" t="s">
        <v>175</v>
      </c>
    </row>
    <row r="12" spans="1:3" x14ac:dyDescent="0.25">
      <c r="A12" s="1" t="s">
        <v>155</v>
      </c>
      <c r="B12" s="24" t="s">
        <v>177</v>
      </c>
    </row>
    <row r="13" spans="1:3" x14ac:dyDescent="0.25">
      <c r="A13" s="1" t="s">
        <v>156</v>
      </c>
      <c r="B13" s="24" t="s">
        <v>178</v>
      </c>
    </row>
    <row r="14" spans="1:3" x14ac:dyDescent="0.25">
      <c r="A14" s="1" t="s">
        <v>161</v>
      </c>
      <c r="B14" s="24" t="s">
        <v>179</v>
      </c>
    </row>
    <row r="15" spans="1:3" x14ac:dyDescent="0.25">
      <c r="A15" s="1" t="s">
        <v>162</v>
      </c>
      <c r="B15" s="24" t="s">
        <v>180</v>
      </c>
    </row>
    <row r="16" spans="1:3" x14ac:dyDescent="0.25">
      <c r="A16" s="1" t="s">
        <v>164</v>
      </c>
      <c r="B16" s="24" t="s">
        <v>181</v>
      </c>
    </row>
    <row r="17" spans="1:2" x14ac:dyDescent="0.25">
      <c r="A17" s="1" t="s">
        <v>165</v>
      </c>
      <c r="B17" s="24" t="s">
        <v>182</v>
      </c>
    </row>
    <row r="18" spans="1:2" x14ac:dyDescent="0.25">
      <c r="A18" s="1" t="s">
        <v>166</v>
      </c>
      <c r="B18" s="24">
        <v>0</v>
      </c>
    </row>
    <row r="19" spans="1:2" x14ac:dyDescent="0.25">
      <c r="A19" s="1" t="s">
        <v>167</v>
      </c>
      <c r="B19" s="24">
        <v>0</v>
      </c>
    </row>
    <row r="20" spans="1:2" x14ac:dyDescent="0.25">
      <c r="A20" s="1" t="s">
        <v>168</v>
      </c>
      <c r="B20" s="24" t="s">
        <v>184</v>
      </c>
    </row>
    <row r="21" spans="1:2" x14ac:dyDescent="0.25">
      <c r="A21" s="1" t="s">
        <v>186</v>
      </c>
      <c r="B21" s="24" t="s">
        <v>188</v>
      </c>
    </row>
    <row r="22" spans="1:2" x14ac:dyDescent="0.25">
      <c r="A22" s="1" t="s">
        <v>187</v>
      </c>
      <c r="B22" s="24" t="s">
        <v>184</v>
      </c>
    </row>
    <row r="23" spans="1:2" x14ac:dyDescent="0.25">
      <c r="A23" s="1" t="s">
        <v>185</v>
      </c>
      <c r="B23" s="24">
        <v>1</v>
      </c>
    </row>
    <row r="24" spans="1:2" x14ac:dyDescent="0.25">
      <c r="A24" s="1" t="s">
        <v>189</v>
      </c>
      <c r="B24" s="24">
        <v>0</v>
      </c>
    </row>
    <row r="25" spans="1:2" x14ac:dyDescent="0.25">
      <c r="A25" s="1" t="s">
        <v>190</v>
      </c>
      <c r="B25" s="24">
        <v>0</v>
      </c>
    </row>
    <row r="26" spans="1:2" x14ac:dyDescent="0.25">
      <c r="A26" s="1" t="s">
        <v>194</v>
      </c>
      <c r="B26" s="25">
        <v>0</v>
      </c>
    </row>
    <row r="27" spans="1:2" x14ac:dyDescent="0.25">
      <c r="A27" s="13" t="s">
        <v>195</v>
      </c>
      <c r="B27" s="25">
        <v>0</v>
      </c>
    </row>
    <row r="28" spans="1:2" x14ac:dyDescent="0.25">
      <c r="A28" s="13" t="s">
        <v>196</v>
      </c>
      <c r="B28" s="25">
        <v>0</v>
      </c>
    </row>
    <row r="29" spans="1:2" x14ac:dyDescent="0.25">
      <c r="A29" s="13" t="s">
        <v>197</v>
      </c>
      <c r="B29" s="24" t="s">
        <v>198</v>
      </c>
    </row>
    <row r="30" spans="1:2" x14ac:dyDescent="0.25">
      <c r="A30" s="13" t="s">
        <v>201</v>
      </c>
      <c r="B30" s="25">
        <v>0</v>
      </c>
    </row>
    <row r="31" spans="1:2" x14ac:dyDescent="0.25">
      <c r="A31" s="13" t="s">
        <v>200</v>
      </c>
      <c r="B31" s="25">
        <v>0</v>
      </c>
    </row>
    <row r="32" spans="1:2" x14ac:dyDescent="0.25">
      <c r="A32" s="13" t="s">
        <v>202</v>
      </c>
      <c r="B32" s="24" t="s">
        <v>203</v>
      </c>
    </row>
    <row r="33" spans="1:2" x14ac:dyDescent="0.25">
      <c r="A33" s="13" t="s">
        <v>204</v>
      </c>
      <c r="B33" s="24" t="s">
        <v>205</v>
      </c>
    </row>
    <row r="34" spans="1:2" x14ac:dyDescent="0.25">
      <c r="A34" s="13" t="s">
        <v>206</v>
      </c>
      <c r="B34" s="24">
        <v>0</v>
      </c>
    </row>
    <row r="35" spans="1:2" x14ac:dyDescent="0.25">
      <c r="A35" s="13" t="s">
        <v>207</v>
      </c>
      <c r="B35" s="24">
        <v>0</v>
      </c>
    </row>
    <row r="36" spans="1:2" x14ac:dyDescent="0.25">
      <c r="A36" s="13" t="s">
        <v>208</v>
      </c>
      <c r="B36" s="24" t="s">
        <v>177</v>
      </c>
    </row>
    <row r="37" spans="1:2" x14ac:dyDescent="0.25">
      <c r="A37" s="13" t="s">
        <v>209</v>
      </c>
      <c r="B37" s="24" t="s">
        <v>177</v>
      </c>
    </row>
    <row r="38" spans="1:2" x14ac:dyDescent="0.25">
      <c r="A38" s="13" t="s">
        <v>210</v>
      </c>
      <c r="B38" s="24">
        <v>1</v>
      </c>
    </row>
    <row r="39" spans="1:2" x14ac:dyDescent="0.25">
      <c r="A39" s="13" t="s">
        <v>211</v>
      </c>
      <c r="B39" s="24">
        <v>0</v>
      </c>
    </row>
    <row r="40" spans="1:2" x14ac:dyDescent="0.25">
      <c r="A40" s="13" t="s">
        <v>212</v>
      </c>
      <c r="B40" s="24" t="s">
        <v>176</v>
      </c>
    </row>
    <row r="41" spans="1:2" x14ac:dyDescent="0.25">
      <c r="A41" s="13" t="s">
        <v>213</v>
      </c>
      <c r="B41" s="24" t="s">
        <v>177</v>
      </c>
    </row>
    <row r="42" spans="1:2" x14ac:dyDescent="0.25">
      <c r="A42" s="13" t="s">
        <v>214</v>
      </c>
      <c r="B42" s="25" t="s">
        <v>175</v>
      </c>
    </row>
    <row r="43" spans="1:2" x14ac:dyDescent="0.25">
      <c r="A43" s="13" t="s">
        <v>215</v>
      </c>
      <c r="B43" s="25" t="s">
        <v>175</v>
      </c>
    </row>
    <row r="44" spans="1:2" x14ac:dyDescent="0.25">
      <c r="A44" s="13" t="s">
        <v>216</v>
      </c>
      <c r="B44" s="24">
        <v>1</v>
      </c>
    </row>
    <row r="45" spans="1:2" x14ac:dyDescent="0.25">
      <c r="A45" s="13" t="s">
        <v>217</v>
      </c>
      <c r="B45" s="24" t="s">
        <v>175</v>
      </c>
    </row>
    <row r="46" spans="1:2" x14ac:dyDescent="0.25">
      <c r="A46" s="13" t="s">
        <v>218</v>
      </c>
      <c r="B46" s="24" t="s">
        <v>175</v>
      </c>
    </row>
    <row r="47" spans="1:2" x14ac:dyDescent="0.25">
      <c r="A47" s="13" t="s">
        <v>219</v>
      </c>
      <c r="B47" s="24" t="s">
        <v>175</v>
      </c>
    </row>
    <row r="48" spans="1:2" x14ac:dyDescent="0.25">
      <c r="A48" s="13" t="s">
        <v>220</v>
      </c>
      <c r="B48" s="24" t="s">
        <v>175</v>
      </c>
    </row>
    <row r="49" spans="1:2" x14ac:dyDescent="0.25">
      <c r="A49" s="13" t="s">
        <v>221</v>
      </c>
      <c r="B49" s="24" t="s">
        <v>175</v>
      </c>
    </row>
    <row r="50" spans="1:2" x14ac:dyDescent="0.25">
      <c r="A50" s="13" t="s">
        <v>222</v>
      </c>
      <c r="B50" s="24" t="s">
        <v>175</v>
      </c>
    </row>
    <row r="51" spans="1:2" x14ac:dyDescent="0.25">
      <c r="A51" s="13" t="s">
        <v>223</v>
      </c>
      <c r="B51" s="24">
        <v>0</v>
      </c>
    </row>
    <row r="52" spans="1:2" x14ac:dyDescent="0.25">
      <c r="A52" s="13" t="s">
        <v>224</v>
      </c>
      <c r="B52" s="24" t="s">
        <v>175</v>
      </c>
    </row>
    <row r="53" spans="1:2" x14ac:dyDescent="0.25">
      <c r="A53" s="13" t="s">
        <v>225</v>
      </c>
      <c r="B53" s="24">
        <v>0</v>
      </c>
    </row>
    <row r="54" spans="1:2" x14ac:dyDescent="0.25">
      <c r="A54" s="13" t="s">
        <v>226</v>
      </c>
      <c r="B54" s="24">
        <v>0</v>
      </c>
    </row>
    <row r="55" spans="1:2" x14ac:dyDescent="0.25">
      <c r="A55" s="13" t="s">
        <v>227</v>
      </c>
      <c r="B55" s="24" t="s">
        <v>175</v>
      </c>
    </row>
    <row r="56" spans="1:2" x14ac:dyDescent="0.25">
      <c r="A56" s="13" t="s">
        <v>228</v>
      </c>
      <c r="B56" s="24" t="s">
        <v>177</v>
      </c>
    </row>
    <row r="57" spans="1:2" x14ac:dyDescent="0.25">
      <c r="A57" s="13" t="s">
        <v>229</v>
      </c>
      <c r="B57" s="25" t="s">
        <v>175</v>
      </c>
    </row>
    <row r="58" spans="1:2" x14ac:dyDescent="0.25">
      <c r="A58" s="13" t="s">
        <v>230</v>
      </c>
      <c r="B58" s="25" t="s">
        <v>175</v>
      </c>
    </row>
    <row r="59" spans="1:2" x14ac:dyDescent="0.25">
      <c r="A59" s="13" t="s">
        <v>231</v>
      </c>
      <c r="B59" s="25" t="s">
        <v>175</v>
      </c>
    </row>
    <row r="60" spans="1:2" x14ac:dyDescent="0.25">
      <c r="A60" s="13" t="s">
        <v>232</v>
      </c>
      <c r="B60" s="24">
        <v>1</v>
      </c>
    </row>
    <row r="61" spans="1:2" x14ac:dyDescent="0.25">
      <c r="A61" s="13" t="s">
        <v>233</v>
      </c>
      <c r="B61" s="24" t="s">
        <v>234</v>
      </c>
    </row>
    <row r="62" spans="1:2" x14ac:dyDescent="0.25">
      <c r="A62" s="13" t="s">
        <v>235</v>
      </c>
      <c r="B62" s="24" t="s">
        <v>175</v>
      </c>
    </row>
    <row r="63" spans="1:2" x14ac:dyDescent="0.25">
      <c r="A63" s="13" t="s">
        <v>236</v>
      </c>
      <c r="B63" s="24" t="s">
        <v>237</v>
      </c>
    </row>
    <row r="64" spans="1:2" x14ac:dyDescent="0.25">
      <c r="A64" s="13" t="s">
        <v>238</v>
      </c>
      <c r="B64" s="24">
        <v>0</v>
      </c>
    </row>
    <row r="65" spans="1:3" x14ac:dyDescent="0.25">
      <c r="A65" s="13" t="s">
        <v>239</v>
      </c>
      <c r="B65" s="24" t="s">
        <v>176</v>
      </c>
    </row>
    <row r="66" spans="1:3" x14ac:dyDescent="0.25">
      <c r="A66" s="13" t="s">
        <v>240</v>
      </c>
      <c r="B66" s="24">
        <v>0</v>
      </c>
    </row>
    <row r="67" spans="1:3" x14ac:dyDescent="0.25">
      <c r="A67" s="13" t="s">
        <v>241</v>
      </c>
      <c r="B67" s="24" t="s">
        <v>175</v>
      </c>
    </row>
    <row r="68" spans="1:3" x14ac:dyDescent="0.25">
      <c r="A68" s="13" t="s">
        <v>242</v>
      </c>
      <c r="B68" s="24" t="s">
        <v>175</v>
      </c>
    </row>
    <row r="69" spans="1:3" x14ac:dyDescent="0.25">
      <c r="A69" s="13" t="s">
        <v>243</v>
      </c>
      <c r="B69" s="24" t="s">
        <v>175</v>
      </c>
    </row>
    <row r="70" spans="1:3" x14ac:dyDescent="0.25">
      <c r="A70" s="13" t="s">
        <v>244</v>
      </c>
      <c r="B70" s="24">
        <v>0</v>
      </c>
    </row>
    <row r="71" spans="1:3" x14ac:dyDescent="0.25">
      <c r="A71" s="13" t="s">
        <v>245</v>
      </c>
      <c r="B71" s="24" t="s">
        <v>175</v>
      </c>
    </row>
    <row r="72" spans="1:3" x14ac:dyDescent="0.25">
      <c r="A72" s="13" t="s">
        <v>246</v>
      </c>
      <c r="B72" s="24">
        <v>0</v>
      </c>
    </row>
    <row r="73" spans="1:3" x14ac:dyDescent="0.25">
      <c r="A73" s="13" t="s">
        <v>247</v>
      </c>
      <c r="B73" s="24" t="s">
        <v>177</v>
      </c>
    </row>
    <row r="74" spans="1:3" x14ac:dyDescent="0.25">
      <c r="A74" s="13" t="s">
        <v>248</v>
      </c>
      <c r="B74" s="24">
        <v>0</v>
      </c>
    </row>
    <row r="75" spans="1:3" x14ac:dyDescent="0.25">
      <c r="A75" s="13" t="s">
        <v>249</v>
      </c>
      <c r="B75" s="24" t="s">
        <v>175</v>
      </c>
    </row>
    <row r="76" spans="1:3" x14ac:dyDescent="0.25">
      <c r="A76" s="13" t="s">
        <v>250</v>
      </c>
      <c r="B76" s="24" t="s">
        <v>175</v>
      </c>
    </row>
    <row r="77" spans="1:3" x14ac:dyDescent="0.25">
      <c r="A77" s="13" t="s">
        <v>251</v>
      </c>
      <c r="B77" s="24" t="s">
        <v>175</v>
      </c>
    </row>
    <row r="78" spans="1:3" x14ac:dyDescent="0.25">
      <c r="A78" s="13" t="s">
        <v>252</v>
      </c>
      <c r="B78" s="24" t="s">
        <v>175</v>
      </c>
    </row>
    <row r="79" spans="1:3" x14ac:dyDescent="0.25">
      <c r="A79" s="13" t="s">
        <v>253</v>
      </c>
      <c r="B79" s="24" t="s">
        <v>254</v>
      </c>
      <c r="C79" t="s">
        <v>323</v>
      </c>
    </row>
    <row r="80" spans="1:3" x14ac:dyDescent="0.25">
      <c r="A80" s="13" t="s">
        <v>255</v>
      </c>
      <c r="B80" s="24" t="s">
        <v>175</v>
      </c>
    </row>
    <row r="81" spans="1:2" x14ac:dyDescent="0.25">
      <c r="A81" s="13" t="s">
        <v>256</v>
      </c>
      <c r="B81" s="24" t="s">
        <v>175</v>
      </c>
    </row>
    <row r="82" spans="1:2" x14ac:dyDescent="0.25">
      <c r="A82" s="13" t="s">
        <v>257</v>
      </c>
      <c r="B82" s="24">
        <v>0</v>
      </c>
    </row>
    <row r="83" spans="1:2" x14ac:dyDescent="0.25">
      <c r="A83" s="13" t="s">
        <v>258</v>
      </c>
      <c r="B83" s="24" t="s">
        <v>175</v>
      </c>
    </row>
    <row r="84" spans="1:2" x14ac:dyDescent="0.25">
      <c r="A84" s="13" t="s">
        <v>259</v>
      </c>
      <c r="B84" s="24" t="s">
        <v>175</v>
      </c>
    </row>
    <row r="85" spans="1:2" x14ac:dyDescent="0.25">
      <c r="A85" s="13" t="s">
        <v>260</v>
      </c>
      <c r="B85" s="24" t="s">
        <v>175</v>
      </c>
    </row>
    <row r="86" spans="1:2" x14ac:dyDescent="0.25">
      <c r="A86" s="13" t="s">
        <v>261</v>
      </c>
      <c r="B86" s="24">
        <v>0</v>
      </c>
    </row>
    <row r="87" spans="1:2" x14ac:dyDescent="0.25">
      <c r="A87" s="13" t="s">
        <v>262</v>
      </c>
      <c r="B87" s="24" t="s">
        <v>175</v>
      </c>
    </row>
    <row r="88" spans="1:2" x14ac:dyDescent="0.25">
      <c r="A88" s="13" t="s">
        <v>263</v>
      </c>
      <c r="B88" s="24">
        <v>0</v>
      </c>
    </row>
    <row r="89" spans="1:2" x14ac:dyDescent="0.25">
      <c r="A89" s="13" t="s">
        <v>264</v>
      </c>
      <c r="B89" s="24">
        <v>0</v>
      </c>
    </row>
    <row r="90" spans="1:2" x14ac:dyDescent="0.25">
      <c r="A90" s="13" t="s">
        <v>265</v>
      </c>
      <c r="B90" s="24">
        <v>0</v>
      </c>
    </row>
    <row r="91" spans="1:2" x14ac:dyDescent="0.25">
      <c r="A91" s="13" t="s">
        <v>266</v>
      </c>
      <c r="B91" s="24" t="s">
        <v>175</v>
      </c>
    </row>
    <row r="92" spans="1:2" x14ac:dyDescent="0.25">
      <c r="A92" s="13" t="s">
        <v>267</v>
      </c>
      <c r="B92" s="24" t="s">
        <v>175</v>
      </c>
    </row>
    <row r="93" spans="1:2" x14ac:dyDescent="0.25">
      <c r="A93" s="13" t="s">
        <v>268</v>
      </c>
      <c r="B93" s="24" t="s">
        <v>175</v>
      </c>
    </row>
    <row r="94" spans="1:2" x14ac:dyDescent="0.25">
      <c r="A94" s="13" t="s">
        <v>269</v>
      </c>
      <c r="B94" s="24">
        <v>0</v>
      </c>
    </row>
    <row r="95" spans="1:2" x14ac:dyDescent="0.25">
      <c r="A95" s="13" t="s">
        <v>270</v>
      </c>
      <c r="B95" s="24" t="s">
        <v>175</v>
      </c>
    </row>
    <row r="96" spans="1:2" x14ac:dyDescent="0.25">
      <c r="A96" s="13" t="s">
        <v>271</v>
      </c>
      <c r="B96" s="24" t="s">
        <v>175</v>
      </c>
    </row>
    <row r="97" spans="1:2" x14ac:dyDescent="0.25">
      <c r="A97" s="13" t="s">
        <v>272</v>
      </c>
      <c r="B97" s="24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C60C-2D79-4E65-998F-2A3BB3530225}">
  <dimension ref="A1:C115"/>
  <sheetViews>
    <sheetView showGridLines="0" workbookViewId="0">
      <pane ySplit="1" topLeftCell="A104" activePane="bottomLeft" state="frozen"/>
      <selection pane="bottomLeft" activeCell="C126" sqref="C126"/>
    </sheetView>
  </sheetViews>
  <sheetFormatPr baseColWidth="10" defaultRowHeight="15" x14ac:dyDescent="0.25"/>
  <cols>
    <col min="1" max="1" width="12.42578125" bestFit="1" customWidth="1"/>
    <col min="2" max="2" width="24.85546875" style="5" bestFit="1" customWidth="1"/>
    <col min="3" max="3" width="86.28515625" bestFit="1" customWidth="1"/>
  </cols>
  <sheetData>
    <row r="1" spans="1:3" x14ac:dyDescent="0.25">
      <c r="A1" s="22" t="s">
        <v>191</v>
      </c>
      <c r="B1" s="23" t="s">
        <v>192</v>
      </c>
    </row>
    <row r="2" spans="1:3" x14ac:dyDescent="0.25">
      <c r="A2" s="1" t="s">
        <v>274</v>
      </c>
      <c r="B2" s="24" t="s">
        <v>151</v>
      </c>
    </row>
    <row r="3" spans="1:3" x14ac:dyDescent="0.25">
      <c r="A3" s="1" t="s">
        <v>143</v>
      </c>
      <c r="B3" s="24" t="s">
        <v>275</v>
      </c>
    </row>
    <row r="4" spans="1:3" x14ac:dyDescent="0.25">
      <c r="A4" s="1" t="s">
        <v>276</v>
      </c>
      <c r="B4" s="24" t="s">
        <v>175</v>
      </c>
    </row>
    <row r="5" spans="1:3" x14ac:dyDescent="0.25">
      <c r="A5" s="1" t="s">
        <v>277</v>
      </c>
      <c r="B5" s="24">
        <v>0</v>
      </c>
    </row>
    <row r="6" spans="1:3" x14ac:dyDescent="0.25">
      <c r="A6" s="1" t="s">
        <v>0</v>
      </c>
      <c r="B6" s="24" t="s">
        <v>169</v>
      </c>
    </row>
    <row r="7" spans="1:3" x14ac:dyDescent="0.25">
      <c r="A7" s="1" t="s">
        <v>144</v>
      </c>
      <c r="B7" s="24" t="s">
        <v>171</v>
      </c>
      <c r="C7" t="s">
        <v>278</v>
      </c>
    </row>
    <row r="8" spans="1:3" x14ac:dyDescent="0.25">
      <c r="A8" s="1" t="s">
        <v>145</v>
      </c>
      <c r="B8" s="24" t="s">
        <v>279</v>
      </c>
    </row>
    <row r="9" spans="1:3" x14ac:dyDescent="0.25">
      <c r="A9" s="1" t="s">
        <v>146</v>
      </c>
      <c r="B9" s="24" t="s">
        <v>173</v>
      </c>
      <c r="C9" t="s">
        <v>280</v>
      </c>
    </row>
    <row r="10" spans="1:3" x14ac:dyDescent="0.25">
      <c r="A10" s="13" t="s">
        <v>281</v>
      </c>
      <c r="B10" s="24" t="s">
        <v>170</v>
      </c>
    </row>
    <row r="11" spans="1:3" x14ac:dyDescent="0.25">
      <c r="A11" s="13" t="s">
        <v>147</v>
      </c>
      <c r="B11" s="24" t="s">
        <v>175</v>
      </c>
    </row>
    <row r="12" spans="1:3" x14ac:dyDescent="0.25">
      <c r="A12" s="13" t="s">
        <v>282</v>
      </c>
      <c r="B12" s="24" t="s">
        <v>283</v>
      </c>
    </row>
    <row r="13" spans="1:3" x14ac:dyDescent="0.25">
      <c r="A13" s="13" t="s">
        <v>284</v>
      </c>
      <c r="B13" s="26" t="s">
        <v>285</v>
      </c>
    </row>
    <row r="14" spans="1:3" x14ac:dyDescent="0.25">
      <c r="A14" s="13" t="s">
        <v>286</v>
      </c>
      <c r="B14" s="24" t="s">
        <v>170</v>
      </c>
    </row>
    <row r="15" spans="1:3" x14ac:dyDescent="0.25">
      <c r="A15" s="13" t="s">
        <v>287</v>
      </c>
      <c r="B15" s="26" t="s">
        <v>292</v>
      </c>
    </row>
    <row r="16" spans="1:3" x14ac:dyDescent="0.25">
      <c r="A16" s="13" t="s">
        <v>293</v>
      </c>
      <c r="B16" s="24" t="s">
        <v>294</v>
      </c>
    </row>
    <row r="17" spans="1:2" x14ac:dyDescent="0.25">
      <c r="A17" s="13" t="s">
        <v>295</v>
      </c>
      <c r="B17" s="24" t="s">
        <v>178</v>
      </c>
    </row>
    <row r="18" spans="1:2" x14ac:dyDescent="0.25">
      <c r="A18" s="13" t="s">
        <v>296</v>
      </c>
      <c r="B18" s="24" t="s">
        <v>175</v>
      </c>
    </row>
    <row r="19" spans="1:2" x14ac:dyDescent="0.25">
      <c r="A19" s="13" t="s">
        <v>297</v>
      </c>
      <c r="B19" s="24">
        <v>0</v>
      </c>
    </row>
    <row r="20" spans="1:2" x14ac:dyDescent="0.25">
      <c r="A20" s="13" t="s">
        <v>298</v>
      </c>
      <c r="B20" s="24" t="s">
        <v>175</v>
      </c>
    </row>
    <row r="21" spans="1:2" x14ac:dyDescent="0.25">
      <c r="A21" s="13" t="s">
        <v>299</v>
      </c>
      <c r="B21" s="24" t="s">
        <v>300</v>
      </c>
    </row>
    <row r="22" spans="1:2" x14ac:dyDescent="0.25">
      <c r="A22" s="13" t="s">
        <v>301</v>
      </c>
      <c r="B22" s="24" t="s">
        <v>175</v>
      </c>
    </row>
    <row r="23" spans="1:2" x14ac:dyDescent="0.25">
      <c r="A23" s="13" t="s">
        <v>302</v>
      </c>
      <c r="B23" s="24" t="s">
        <v>303</v>
      </c>
    </row>
    <row r="24" spans="1:2" x14ac:dyDescent="0.25">
      <c r="A24" s="13" t="s">
        <v>304</v>
      </c>
      <c r="B24" s="24">
        <v>1</v>
      </c>
    </row>
    <row r="25" spans="1:2" x14ac:dyDescent="0.25">
      <c r="A25" s="13" t="s">
        <v>305</v>
      </c>
      <c r="B25" s="24" t="s">
        <v>306</v>
      </c>
    </row>
    <row r="26" spans="1:2" x14ac:dyDescent="0.25">
      <c r="A26" s="13" t="s">
        <v>163</v>
      </c>
      <c r="B26" s="24" t="s">
        <v>309</v>
      </c>
    </row>
    <row r="27" spans="1:2" x14ac:dyDescent="0.25">
      <c r="A27" s="13" t="s">
        <v>310</v>
      </c>
      <c r="B27" s="24" t="s">
        <v>309</v>
      </c>
    </row>
    <row r="28" spans="1:2" x14ac:dyDescent="0.25">
      <c r="A28" s="13" t="s">
        <v>311</v>
      </c>
      <c r="B28" s="24">
        <v>0</v>
      </c>
    </row>
    <row r="29" spans="1:2" x14ac:dyDescent="0.25">
      <c r="A29" s="13" t="s">
        <v>312</v>
      </c>
      <c r="B29" s="24">
        <v>0</v>
      </c>
    </row>
    <row r="30" spans="1:2" x14ac:dyDescent="0.25">
      <c r="A30" s="13" t="s">
        <v>124</v>
      </c>
      <c r="B30" s="24" t="s">
        <v>183</v>
      </c>
    </row>
    <row r="31" spans="1:2" x14ac:dyDescent="0.25">
      <c r="A31" s="13" t="s">
        <v>313</v>
      </c>
      <c r="B31" s="24" t="s">
        <v>314</v>
      </c>
    </row>
    <row r="32" spans="1:2" x14ac:dyDescent="0.25">
      <c r="A32" s="13" t="s">
        <v>315</v>
      </c>
      <c r="B32" s="24" t="s">
        <v>314</v>
      </c>
    </row>
    <row r="33" spans="1:3" x14ac:dyDescent="0.25">
      <c r="A33" s="13" t="s">
        <v>316</v>
      </c>
      <c r="B33" s="24">
        <v>0</v>
      </c>
    </row>
    <row r="34" spans="1:3" x14ac:dyDescent="0.25">
      <c r="A34" s="13" t="s">
        <v>317</v>
      </c>
      <c r="B34" s="24">
        <v>0</v>
      </c>
    </row>
    <row r="35" spans="1:3" x14ac:dyDescent="0.25">
      <c r="A35" s="13" t="s">
        <v>125</v>
      </c>
      <c r="B35" s="24" t="s">
        <v>318</v>
      </c>
    </row>
    <row r="36" spans="1:3" x14ac:dyDescent="0.25">
      <c r="A36" s="13" t="s">
        <v>319</v>
      </c>
      <c r="B36" s="24" t="s">
        <v>254</v>
      </c>
      <c r="C36" t="s">
        <v>323</v>
      </c>
    </row>
    <row r="37" spans="1:3" x14ac:dyDescent="0.25">
      <c r="A37" s="13" t="s">
        <v>320</v>
      </c>
      <c r="B37" s="24" t="s">
        <v>188</v>
      </c>
    </row>
    <row r="38" spans="1:3" x14ac:dyDescent="0.25">
      <c r="A38" s="13" t="s">
        <v>321</v>
      </c>
      <c r="B38" s="24" t="s">
        <v>184</v>
      </c>
    </row>
    <row r="39" spans="1:3" x14ac:dyDescent="0.25">
      <c r="A39" s="13" t="s">
        <v>322</v>
      </c>
      <c r="B39" s="24">
        <v>1</v>
      </c>
    </row>
    <row r="40" spans="1:3" x14ac:dyDescent="0.25">
      <c r="A40" s="13" t="s">
        <v>324</v>
      </c>
      <c r="B40" s="24" t="s">
        <v>328</v>
      </c>
      <c r="C40" t="s">
        <v>337</v>
      </c>
    </row>
    <row r="41" spans="1:3" x14ac:dyDescent="0.25">
      <c r="A41" s="13" t="s">
        <v>325</v>
      </c>
      <c r="B41" s="24" t="s">
        <v>328</v>
      </c>
      <c r="C41" t="s">
        <v>337</v>
      </c>
    </row>
    <row r="42" spans="1:3" x14ac:dyDescent="0.25">
      <c r="A42" s="13" t="s">
        <v>326</v>
      </c>
      <c r="B42" s="24" t="s">
        <v>329</v>
      </c>
      <c r="C42" t="s">
        <v>338</v>
      </c>
    </row>
    <row r="43" spans="1:3" x14ac:dyDescent="0.25">
      <c r="A43" s="13" t="s">
        <v>327</v>
      </c>
      <c r="B43" s="25" t="s">
        <v>330</v>
      </c>
      <c r="C43" t="s">
        <v>338</v>
      </c>
    </row>
    <row r="44" spans="1:3" x14ac:dyDescent="0.25">
      <c r="A44" s="13" t="s">
        <v>331</v>
      </c>
      <c r="B44" s="24">
        <v>0</v>
      </c>
    </row>
    <row r="45" spans="1:3" x14ac:dyDescent="0.25">
      <c r="A45" s="13" t="s">
        <v>332</v>
      </c>
      <c r="B45" s="24">
        <v>0</v>
      </c>
    </row>
    <row r="46" spans="1:3" x14ac:dyDescent="0.25">
      <c r="A46" s="13" t="s">
        <v>199</v>
      </c>
      <c r="B46" s="24">
        <v>0</v>
      </c>
    </row>
    <row r="47" spans="1:3" x14ac:dyDescent="0.25">
      <c r="A47" s="13" t="s">
        <v>333</v>
      </c>
      <c r="B47" s="24">
        <v>0</v>
      </c>
    </row>
    <row r="48" spans="1:3" x14ac:dyDescent="0.25">
      <c r="A48" s="13" t="s">
        <v>334</v>
      </c>
      <c r="B48" s="24">
        <v>19</v>
      </c>
    </row>
    <row r="49" spans="1:3" x14ac:dyDescent="0.25">
      <c r="A49" s="13" t="s">
        <v>335</v>
      </c>
      <c r="B49" s="25" t="s">
        <v>336</v>
      </c>
      <c r="C49" t="s">
        <v>342</v>
      </c>
    </row>
    <row r="50" spans="1:3" x14ac:dyDescent="0.25">
      <c r="A50" s="13" t="s">
        <v>339</v>
      </c>
      <c r="B50" s="25" t="s">
        <v>340</v>
      </c>
      <c r="C50" t="s">
        <v>341</v>
      </c>
    </row>
    <row r="51" spans="1:3" x14ac:dyDescent="0.25">
      <c r="A51" s="13" t="s">
        <v>343</v>
      </c>
      <c r="B51" s="24" t="s">
        <v>344</v>
      </c>
      <c r="C51" t="s">
        <v>341</v>
      </c>
    </row>
    <row r="52" spans="1:3" x14ac:dyDescent="0.25">
      <c r="A52" s="13" t="s">
        <v>345</v>
      </c>
      <c r="B52" s="24" t="s">
        <v>176</v>
      </c>
    </row>
    <row r="53" spans="1:3" x14ac:dyDescent="0.25">
      <c r="A53" s="13" t="s">
        <v>346</v>
      </c>
      <c r="B53" s="24" t="s">
        <v>175</v>
      </c>
    </row>
    <row r="54" spans="1:3" x14ac:dyDescent="0.25">
      <c r="A54" s="13" t="s">
        <v>347</v>
      </c>
      <c r="B54" s="24" t="s">
        <v>175</v>
      </c>
    </row>
    <row r="55" spans="1:3" x14ac:dyDescent="0.25">
      <c r="A55" s="13" t="s">
        <v>348</v>
      </c>
      <c r="B55" s="24" t="s">
        <v>175</v>
      </c>
    </row>
    <row r="56" spans="1:3" x14ac:dyDescent="0.25">
      <c r="A56" s="13" t="s">
        <v>349</v>
      </c>
      <c r="B56" s="24" t="s">
        <v>175</v>
      </c>
    </row>
    <row r="57" spans="1:3" x14ac:dyDescent="0.25">
      <c r="A57" s="13" t="s">
        <v>350</v>
      </c>
      <c r="B57" s="24" t="s">
        <v>175</v>
      </c>
    </row>
    <row r="58" spans="1:3" x14ac:dyDescent="0.25">
      <c r="A58" s="13" t="s">
        <v>351</v>
      </c>
      <c r="B58" s="24">
        <v>0</v>
      </c>
    </row>
    <row r="59" spans="1:3" x14ac:dyDescent="0.25">
      <c r="A59" s="13" t="s">
        <v>352</v>
      </c>
      <c r="B59" s="24" t="s">
        <v>353</v>
      </c>
    </row>
    <row r="60" spans="1:3" x14ac:dyDescent="0.25">
      <c r="A60" s="13" t="s">
        <v>354</v>
      </c>
      <c r="B60" s="24" t="s">
        <v>353</v>
      </c>
    </row>
    <row r="61" spans="1:3" x14ac:dyDescent="0.25">
      <c r="A61" s="13" t="s">
        <v>355</v>
      </c>
      <c r="B61" s="24" t="s">
        <v>328</v>
      </c>
      <c r="C61" t="s">
        <v>337</v>
      </c>
    </row>
    <row r="62" spans="1:3" x14ac:dyDescent="0.25">
      <c r="A62" s="13" t="s">
        <v>356</v>
      </c>
      <c r="B62" s="24" t="s">
        <v>175</v>
      </c>
    </row>
    <row r="63" spans="1:3" x14ac:dyDescent="0.25">
      <c r="A63" s="13" t="s">
        <v>357</v>
      </c>
      <c r="B63" s="24" t="s">
        <v>175</v>
      </c>
    </row>
    <row r="64" spans="1:3" x14ac:dyDescent="0.25">
      <c r="A64" s="13" t="s">
        <v>358</v>
      </c>
      <c r="B64" s="24" t="s">
        <v>179</v>
      </c>
    </row>
    <row r="65" spans="1:3" x14ac:dyDescent="0.25">
      <c r="A65" s="13" t="s">
        <v>359</v>
      </c>
      <c r="B65" s="24" t="s">
        <v>328</v>
      </c>
      <c r="C65" t="s">
        <v>360</v>
      </c>
    </row>
    <row r="66" spans="1:3" x14ac:dyDescent="0.25">
      <c r="A66" s="13" t="s">
        <v>361</v>
      </c>
      <c r="B66" s="24" t="s">
        <v>328</v>
      </c>
      <c r="C66" t="s">
        <v>360</v>
      </c>
    </row>
    <row r="67" spans="1:3" x14ac:dyDescent="0.25">
      <c r="A67" s="13" t="s">
        <v>362</v>
      </c>
      <c r="B67" s="24" t="s">
        <v>175</v>
      </c>
    </row>
    <row r="68" spans="1:3" x14ac:dyDescent="0.25">
      <c r="A68" s="13" t="s">
        <v>363</v>
      </c>
      <c r="B68" s="24">
        <v>0</v>
      </c>
    </row>
    <row r="69" spans="1:3" x14ac:dyDescent="0.25">
      <c r="A69" s="13" t="s">
        <v>364</v>
      </c>
      <c r="B69" s="24">
        <v>0</v>
      </c>
    </row>
    <row r="70" spans="1:3" x14ac:dyDescent="0.25">
      <c r="A70" s="13" t="s">
        <v>365</v>
      </c>
      <c r="B70" s="24">
        <v>0</v>
      </c>
    </row>
    <row r="71" spans="1:3" x14ac:dyDescent="0.25">
      <c r="A71" s="13" t="s">
        <v>366</v>
      </c>
      <c r="B71" s="24">
        <v>0</v>
      </c>
    </row>
    <row r="72" spans="1:3" x14ac:dyDescent="0.25">
      <c r="A72" s="13" t="s">
        <v>367</v>
      </c>
      <c r="B72" s="24" t="s">
        <v>175</v>
      </c>
    </row>
    <row r="73" spans="1:3" x14ac:dyDescent="0.25">
      <c r="A73" s="13" t="s">
        <v>368</v>
      </c>
      <c r="B73" s="24" t="s">
        <v>175</v>
      </c>
    </row>
    <row r="74" spans="1:3" x14ac:dyDescent="0.25">
      <c r="A74" s="13" t="s">
        <v>369</v>
      </c>
      <c r="B74" s="24" t="s">
        <v>175</v>
      </c>
    </row>
    <row r="75" spans="1:3" x14ac:dyDescent="0.25">
      <c r="A75" s="13" t="s">
        <v>370</v>
      </c>
      <c r="B75" s="24" t="s">
        <v>175</v>
      </c>
    </row>
    <row r="76" spans="1:3" x14ac:dyDescent="0.25">
      <c r="A76" s="13" t="s">
        <v>215</v>
      </c>
      <c r="B76" s="24" t="s">
        <v>175</v>
      </c>
    </row>
    <row r="77" spans="1:3" x14ac:dyDescent="0.25">
      <c r="A77" s="13" t="s">
        <v>221</v>
      </c>
      <c r="B77" s="24" t="s">
        <v>175</v>
      </c>
    </row>
    <row r="78" spans="1:3" x14ac:dyDescent="0.25">
      <c r="A78" s="13" t="s">
        <v>222</v>
      </c>
      <c r="B78" s="24" t="s">
        <v>175</v>
      </c>
    </row>
    <row r="79" spans="1:3" x14ac:dyDescent="0.25">
      <c r="A79" s="13" t="s">
        <v>371</v>
      </c>
      <c r="B79" s="24" t="s">
        <v>175</v>
      </c>
    </row>
    <row r="80" spans="1:3" x14ac:dyDescent="0.25">
      <c r="A80" s="13" t="s">
        <v>372</v>
      </c>
      <c r="B80" s="24" t="s">
        <v>175</v>
      </c>
    </row>
    <row r="81" spans="1:2" x14ac:dyDescent="0.25">
      <c r="A81" s="13" t="s">
        <v>373</v>
      </c>
      <c r="B81" s="24" t="s">
        <v>374</v>
      </c>
    </row>
    <row r="82" spans="1:2" x14ac:dyDescent="0.25">
      <c r="A82" s="13" t="s">
        <v>375</v>
      </c>
      <c r="B82" s="24">
        <v>0</v>
      </c>
    </row>
    <row r="83" spans="1:2" x14ac:dyDescent="0.25">
      <c r="A83" s="13" t="s">
        <v>376</v>
      </c>
      <c r="B83" s="24" t="s">
        <v>175</v>
      </c>
    </row>
    <row r="84" spans="1:2" x14ac:dyDescent="0.25">
      <c r="A84" s="13" t="s">
        <v>377</v>
      </c>
      <c r="B84" s="24" t="s">
        <v>175</v>
      </c>
    </row>
    <row r="85" spans="1:2" x14ac:dyDescent="0.25">
      <c r="A85" s="13" t="s">
        <v>378</v>
      </c>
      <c r="B85" s="24" t="s">
        <v>175</v>
      </c>
    </row>
    <row r="86" spans="1:2" x14ac:dyDescent="0.25">
      <c r="A86" s="13" t="s">
        <v>379</v>
      </c>
      <c r="B86" s="24">
        <v>0</v>
      </c>
    </row>
    <row r="87" spans="1:2" x14ac:dyDescent="0.25">
      <c r="A87" s="13" t="s">
        <v>380</v>
      </c>
      <c r="B87" s="24">
        <v>0</v>
      </c>
    </row>
    <row r="88" spans="1:2" x14ac:dyDescent="0.25">
      <c r="A88" s="13" t="s">
        <v>381</v>
      </c>
      <c r="B88" s="24">
        <v>0</v>
      </c>
    </row>
    <row r="89" spans="1:2" x14ac:dyDescent="0.25">
      <c r="A89" s="13" t="s">
        <v>382</v>
      </c>
      <c r="B89" s="24" t="s">
        <v>175</v>
      </c>
    </row>
    <row r="90" spans="1:2" x14ac:dyDescent="0.25">
      <c r="A90" s="13" t="s">
        <v>383</v>
      </c>
      <c r="B90" s="24">
        <v>0</v>
      </c>
    </row>
    <row r="91" spans="1:2" x14ac:dyDescent="0.25">
      <c r="A91" s="13" t="s">
        <v>384</v>
      </c>
      <c r="B91" s="24">
        <v>0</v>
      </c>
    </row>
    <row r="92" spans="1:2" x14ac:dyDescent="0.25">
      <c r="A92" s="13" t="s">
        <v>385</v>
      </c>
      <c r="B92" s="24">
        <v>0</v>
      </c>
    </row>
    <row r="93" spans="1:2" x14ac:dyDescent="0.25">
      <c r="A93" s="13" t="s">
        <v>386</v>
      </c>
      <c r="B93" s="24">
        <v>0</v>
      </c>
    </row>
    <row r="94" spans="1:2" x14ac:dyDescent="0.25">
      <c r="A94" s="13" t="s">
        <v>387</v>
      </c>
      <c r="B94" s="24">
        <v>1</v>
      </c>
    </row>
    <row r="95" spans="1:2" x14ac:dyDescent="0.25">
      <c r="A95" s="13" t="s">
        <v>240</v>
      </c>
      <c r="B95" s="24">
        <v>0</v>
      </c>
    </row>
    <row r="96" spans="1:2" x14ac:dyDescent="0.25">
      <c r="A96" s="13" t="s">
        <v>388</v>
      </c>
      <c r="B96" s="24">
        <v>0</v>
      </c>
    </row>
    <row r="97" spans="1:3" x14ac:dyDescent="0.25">
      <c r="A97" s="13" t="s">
        <v>242</v>
      </c>
      <c r="B97" s="24" t="s">
        <v>175</v>
      </c>
    </row>
    <row r="98" spans="1:3" x14ac:dyDescent="0.25">
      <c r="A98" s="13" t="s">
        <v>389</v>
      </c>
      <c r="B98" s="24">
        <v>0</v>
      </c>
    </row>
    <row r="99" spans="1:3" x14ac:dyDescent="0.25">
      <c r="A99" s="13" t="s">
        <v>390</v>
      </c>
      <c r="B99" s="24">
        <v>0</v>
      </c>
    </row>
    <row r="100" spans="1:3" x14ac:dyDescent="0.25">
      <c r="A100" s="13" t="s">
        <v>391</v>
      </c>
      <c r="B100" s="24">
        <v>0</v>
      </c>
    </row>
    <row r="101" spans="1:3" x14ac:dyDescent="0.25">
      <c r="A101" s="13" t="s">
        <v>392</v>
      </c>
      <c r="B101" s="24">
        <v>0</v>
      </c>
    </row>
    <row r="102" spans="1:3" x14ac:dyDescent="0.25">
      <c r="A102" s="13" t="s">
        <v>393</v>
      </c>
      <c r="B102" s="24">
        <v>1</v>
      </c>
    </row>
    <row r="103" spans="1:3" x14ac:dyDescent="0.25">
      <c r="A103" s="13" t="s">
        <v>394</v>
      </c>
      <c r="B103" s="24">
        <v>0</v>
      </c>
    </row>
    <row r="104" spans="1:3" x14ac:dyDescent="0.25">
      <c r="A104" s="13" t="s">
        <v>395</v>
      </c>
      <c r="B104" s="24">
        <v>0</v>
      </c>
    </row>
    <row r="105" spans="1:3" x14ac:dyDescent="0.25">
      <c r="A105" s="13" t="s">
        <v>396</v>
      </c>
      <c r="B105" s="24">
        <v>0</v>
      </c>
    </row>
    <row r="106" spans="1:3" x14ac:dyDescent="0.25">
      <c r="A106" s="13" t="s">
        <v>397</v>
      </c>
      <c r="B106" s="24" t="s">
        <v>175</v>
      </c>
    </row>
    <row r="107" spans="1:3" x14ac:dyDescent="0.25">
      <c r="A107" s="13" t="s">
        <v>398</v>
      </c>
      <c r="B107" s="24" t="s">
        <v>175</v>
      </c>
    </row>
    <row r="108" spans="1:3" x14ac:dyDescent="0.25">
      <c r="A108" s="13" t="s">
        <v>399</v>
      </c>
      <c r="B108" s="24" t="s">
        <v>328</v>
      </c>
      <c r="C108" t="s">
        <v>337</v>
      </c>
    </row>
    <row r="109" spans="1:3" x14ac:dyDescent="0.25">
      <c r="A109" s="13" t="s">
        <v>400</v>
      </c>
      <c r="B109" s="24" t="s">
        <v>328</v>
      </c>
      <c r="C109" t="s">
        <v>337</v>
      </c>
    </row>
    <row r="110" spans="1:3" x14ac:dyDescent="0.25">
      <c r="A110" s="13" t="s">
        <v>401</v>
      </c>
      <c r="B110" s="24">
        <v>0</v>
      </c>
    </row>
    <row r="111" spans="1:3" x14ac:dyDescent="0.25">
      <c r="A111" s="13" t="s">
        <v>402</v>
      </c>
      <c r="B111" s="24">
        <v>0</v>
      </c>
    </row>
    <row r="112" spans="1:3" x14ac:dyDescent="0.25">
      <c r="A112" s="13" t="s">
        <v>256</v>
      </c>
      <c r="B112" s="24" t="s">
        <v>175</v>
      </c>
    </row>
    <row r="113" spans="1:2" x14ac:dyDescent="0.25">
      <c r="A113" s="13" t="s">
        <v>403</v>
      </c>
      <c r="B113" s="24">
        <v>0</v>
      </c>
    </row>
    <row r="114" spans="1:2" x14ac:dyDescent="0.25">
      <c r="A114" s="13" t="s">
        <v>259</v>
      </c>
      <c r="B114" s="24" t="s">
        <v>175</v>
      </c>
    </row>
    <row r="115" spans="1:2" x14ac:dyDescent="0.25">
      <c r="A115" s="13" t="s">
        <v>404</v>
      </c>
      <c r="B115" s="24" t="s">
        <v>353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0AE0-314C-4C2D-B7A5-DE4D12733ACF}">
  <dimension ref="A1:E18"/>
  <sheetViews>
    <sheetView workbookViewId="0">
      <selection activeCell="H24" sqref="H24"/>
    </sheetView>
  </sheetViews>
  <sheetFormatPr baseColWidth="10" defaultRowHeight="15" x14ac:dyDescent="0.25"/>
  <cols>
    <col min="1" max="1" width="18.42578125" bestFit="1" customWidth="1"/>
    <col min="2" max="2" width="12.7109375" bestFit="1" customWidth="1"/>
    <col min="3" max="3" width="29.140625" bestFit="1" customWidth="1"/>
    <col min="5" max="5" width="8.42578125" bestFit="1" customWidth="1"/>
  </cols>
  <sheetData>
    <row r="1" spans="1:5" x14ac:dyDescent="0.25">
      <c r="A1" s="3" t="s">
        <v>42</v>
      </c>
      <c r="B1" s="3" t="s">
        <v>43</v>
      </c>
      <c r="C1" s="3" t="s">
        <v>44</v>
      </c>
      <c r="E1" s="4" t="s">
        <v>27</v>
      </c>
    </row>
    <row r="2" spans="1:5" x14ac:dyDescent="0.25">
      <c r="A2" s="1" t="s">
        <v>45</v>
      </c>
      <c r="B2" s="1" t="s">
        <v>46</v>
      </c>
      <c r="C2" s="1" t="s">
        <v>47</v>
      </c>
    </row>
    <row r="3" spans="1:5" x14ac:dyDescent="0.25">
      <c r="A3" s="1" t="s">
        <v>48</v>
      </c>
      <c r="B3" s="1" t="s">
        <v>49</v>
      </c>
      <c r="C3" s="1" t="s">
        <v>50</v>
      </c>
    </row>
    <row r="4" spans="1:5" x14ac:dyDescent="0.25">
      <c r="A4" s="1" t="s">
        <v>51</v>
      </c>
      <c r="B4" s="1" t="s">
        <v>52</v>
      </c>
      <c r="C4" s="1" t="s">
        <v>53</v>
      </c>
    </row>
    <row r="5" spans="1:5" x14ac:dyDescent="0.25">
      <c r="A5" s="1" t="s">
        <v>54</v>
      </c>
      <c r="B5" s="1" t="s">
        <v>55</v>
      </c>
      <c r="C5" s="1" t="s">
        <v>56</v>
      </c>
    </row>
    <row r="6" spans="1:5" x14ac:dyDescent="0.25">
      <c r="A6" s="1" t="s">
        <v>57</v>
      </c>
      <c r="B6" s="1" t="s">
        <v>58</v>
      </c>
      <c r="C6" s="1" t="s">
        <v>59</v>
      </c>
    </row>
    <row r="7" spans="1:5" x14ac:dyDescent="0.25">
      <c r="A7" s="1" t="s">
        <v>60</v>
      </c>
      <c r="B7" s="1" t="s">
        <v>61</v>
      </c>
      <c r="C7" s="1" t="s">
        <v>62</v>
      </c>
    </row>
    <row r="8" spans="1:5" x14ac:dyDescent="0.25">
      <c r="A8" s="1" t="s">
        <v>63</v>
      </c>
      <c r="B8" s="1" t="s">
        <v>64</v>
      </c>
      <c r="C8" s="1" t="s">
        <v>65</v>
      </c>
    </row>
    <row r="9" spans="1:5" x14ac:dyDescent="0.25">
      <c r="A9" s="1" t="s">
        <v>66</v>
      </c>
      <c r="B9" s="1" t="s">
        <v>67</v>
      </c>
      <c r="C9" s="1" t="s">
        <v>68</v>
      </c>
    </row>
    <row r="10" spans="1:5" x14ac:dyDescent="0.25">
      <c r="A10" s="1" t="s">
        <v>69</v>
      </c>
      <c r="B10" s="1" t="s">
        <v>70</v>
      </c>
      <c r="C10" s="1" t="s">
        <v>71</v>
      </c>
    </row>
    <row r="11" spans="1:5" x14ac:dyDescent="0.25">
      <c r="A11" s="1" t="s">
        <v>72</v>
      </c>
      <c r="B11" s="1" t="s">
        <v>73</v>
      </c>
      <c r="C11" s="1" t="s">
        <v>74</v>
      </c>
    </row>
    <row r="12" spans="1:5" x14ac:dyDescent="0.25">
      <c r="A12" s="1" t="s">
        <v>75</v>
      </c>
      <c r="B12" s="1" t="s">
        <v>76</v>
      </c>
      <c r="C12" s="1" t="s">
        <v>77</v>
      </c>
    </row>
    <row r="13" spans="1:5" x14ac:dyDescent="0.25">
      <c r="A13" s="1" t="s">
        <v>78</v>
      </c>
      <c r="B13" s="1" t="s">
        <v>79</v>
      </c>
      <c r="C13" s="1" t="s">
        <v>80</v>
      </c>
    </row>
    <row r="14" spans="1:5" x14ac:dyDescent="0.25">
      <c r="A14" s="1" t="s">
        <v>81</v>
      </c>
      <c r="B14" s="1" t="s">
        <v>82</v>
      </c>
      <c r="C14" s="1" t="s">
        <v>83</v>
      </c>
    </row>
    <row r="15" spans="1:5" x14ac:dyDescent="0.25">
      <c r="A15" s="1" t="s">
        <v>84</v>
      </c>
      <c r="B15" s="1" t="s">
        <v>85</v>
      </c>
      <c r="C15" s="1" t="s">
        <v>86</v>
      </c>
    </row>
    <row r="16" spans="1:5" x14ac:dyDescent="0.25">
      <c r="A16" s="1" t="s">
        <v>87</v>
      </c>
      <c r="B16" s="1" t="s">
        <v>88</v>
      </c>
      <c r="C16" s="1" t="s">
        <v>89</v>
      </c>
    </row>
    <row r="17" spans="1:3" x14ac:dyDescent="0.25">
      <c r="A17" s="1" t="s">
        <v>90</v>
      </c>
      <c r="B17" s="1" t="s">
        <v>91</v>
      </c>
      <c r="C17" s="1" t="s">
        <v>92</v>
      </c>
    </row>
    <row r="18" spans="1:3" x14ac:dyDescent="0.25">
      <c r="A18" s="1" t="s">
        <v>93</v>
      </c>
      <c r="B18" s="1" t="s">
        <v>94</v>
      </c>
      <c r="C18" s="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33E0-9F55-4A66-B5D6-B484B0C9E4F5}">
  <dimension ref="A1:E6"/>
  <sheetViews>
    <sheetView workbookViewId="0">
      <selection activeCell="I24" sqref="I24"/>
    </sheetView>
  </sheetViews>
  <sheetFormatPr baseColWidth="10" defaultRowHeight="15" x14ac:dyDescent="0.25"/>
  <cols>
    <col min="1" max="1" width="9" bestFit="1" customWidth="1"/>
    <col min="2" max="2" width="5.85546875" bestFit="1" customWidth="1"/>
    <col min="3" max="3" width="6.140625" bestFit="1" customWidth="1"/>
    <col min="4" max="4" width="24.140625" bestFit="1" customWidth="1"/>
  </cols>
  <sheetData>
    <row r="1" spans="1:5" x14ac:dyDescent="0.25">
      <c r="A1" s="27" t="s">
        <v>0</v>
      </c>
      <c r="B1" s="27" t="s">
        <v>1</v>
      </c>
      <c r="C1" s="27" t="s">
        <v>2</v>
      </c>
      <c r="D1" s="27" t="s">
        <v>3</v>
      </c>
      <c r="E1" s="12" t="s">
        <v>289</v>
      </c>
    </row>
    <row r="2" spans="1:5" x14ac:dyDescent="0.25">
      <c r="A2" s="2" t="s">
        <v>16</v>
      </c>
      <c r="B2" s="1" t="s">
        <v>4</v>
      </c>
      <c r="C2" s="2" t="s">
        <v>17</v>
      </c>
      <c r="D2" s="1" t="s">
        <v>5</v>
      </c>
      <c r="E2" s="2" t="s">
        <v>290</v>
      </c>
    </row>
    <row r="3" spans="1:5" x14ac:dyDescent="0.25">
      <c r="A3" s="2" t="s">
        <v>16</v>
      </c>
      <c r="B3" s="1" t="s">
        <v>6</v>
      </c>
      <c r="C3" s="1" t="s">
        <v>7</v>
      </c>
      <c r="D3" s="1" t="s">
        <v>8</v>
      </c>
      <c r="E3" s="28" t="s">
        <v>288</v>
      </c>
    </row>
    <row r="4" spans="1:5" x14ac:dyDescent="0.25">
      <c r="A4" s="2" t="s">
        <v>16</v>
      </c>
      <c r="B4" s="1" t="s">
        <v>9</v>
      </c>
      <c r="C4" s="1" t="s">
        <v>10</v>
      </c>
      <c r="D4" s="1" t="s">
        <v>11</v>
      </c>
      <c r="E4" s="28" t="s">
        <v>291</v>
      </c>
    </row>
    <row r="5" spans="1:5" x14ac:dyDescent="0.25">
      <c r="A5" s="2" t="s">
        <v>16</v>
      </c>
      <c r="B5" s="1" t="s">
        <v>12</v>
      </c>
      <c r="C5" s="1" t="s">
        <v>12</v>
      </c>
      <c r="D5" s="1" t="s">
        <v>13</v>
      </c>
      <c r="E5" s="28" t="s">
        <v>291</v>
      </c>
    </row>
    <row r="6" spans="1:5" x14ac:dyDescent="0.25">
      <c r="A6" s="2" t="s">
        <v>16</v>
      </c>
      <c r="B6" s="1" t="s">
        <v>14</v>
      </c>
      <c r="C6" s="1" t="s">
        <v>14</v>
      </c>
      <c r="D6" s="1" t="s">
        <v>15</v>
      </c>
      <c r="E6" s="28" t="s">
        <v>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4521-48DC-49AE-990F-6B7E33D97AE8}">
  <dimension ref="A1:D8"/>
  <sheetViews>
    <sheetView workbookViewId="0">
      <selection activeCell="L24" sqref="L24:L25"/>
    </sheetView>
  </sheetViews>
  <sheetFormatPr baseColWidth="10" defaultRowHeight="15" x14ac:dyDescent="0.25"/>
  <cols>
    <col min="1" max="1" width="6.140625" bestFit="1" customWidth="1"/>
    <col min="2" max="2" width="10.85546875" bestFit="1" customWidth="1"/>
    <col min="3" max="3" width="6.7109375" customWidth="1"/>
    <col min="4" max="4" width="8.140625" bestFit="1" customWidth="1"/>
  </cols>
  <sheetData>
    <row r="1" spans="1:4" x14ac:dyDescent="0.25">
      <c r="A1" s="3" t="s">
        <v>2</v>
      </c>
      <c r="B1" s="3" t="s">
        <v>28</v>
      </c>
      <c r="D1" s="4" t="s">
        <v>27</v>
      </c>
    </row>
    <row r="2" spans="1:4" x14ac:dyDescent="0.25">
      <c r="A2" s="1" t="s">
        <v>7</v>
      </c>
      <c r="B2" s="1" t="s">
        <v>20</v>
      </c>
    </row>
    <row r="3" spans="1:4" x14ac:dyDescent="0.25">
      <c r="A3" s="1" t="s">
        <v>7</v>
      </c>
      <c r="B3" s="1" t="s">
        <v>21</v>
      </c>
    </row>
    <row r="4" spans="1:4" x14ac:dyDescent="0.25">
      <c r="A4" s="1" t="s">
        <v>7</v>
      </c>
      <c r="B4" s="1" t="s">
        <v>22</v>
      </c>
    </row>
    <row r="5" spans="1:4" x14ac:dyDescent="0.25">
      <c r="A5" s="1" t="s">
        <v>7</v>
      </c>
      <c r="B5" s="1" t="s">
        <v>23</v>
      </c>
    </row>
    <row r="6" spans="1:4" x14ac:dyDescent="0.25">
      <c r="A6" s="1" t="s">
        <v>7</v>
      </c>
      <c r="B6" s="1" t="s">
        <v>24</v>
      </c>
    </row>
    <row r="7" spans="1:4" x14ac:dyDescent="0.25">
      <c r="A7" s="1" t="s">
        <v>7</v>
      </c>
      <c r="B7" s="1" t="s">
        <v>25</v>
      </c>
    </row>
    <row r="8" spans="1:4" x14ac:dyDescent="0.25">
      <c r="A8" s="1" t="s">
        <v>7</v>
      </c>
      <c r="B8" s="1" t="s">
        <v>26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4703-DB7C-43EC-B668-382606BE3738}">
  <dimension ref="A1:N3"/>
  <sheetViews>
    <sheetView workbookViewId="0">
      <selection activeCell="F26" sqref="F26"/>
    </sheetView>
  </sheetViews>
  <sheetFormatPr baseColWidth="10" defaultRowHeight="15" x14ac:dyDescent="0.25"/>
  <cols>
    <col min="1" max="1" width="9" bestFit="1" customWidth="1"/>
    <col min="2" max="2" width="14.7109375" customWidth="1"/>
    <col min="3" max="4" width="13.140625" customWidth="1"/>
    <col min="5" max="5" width="12.5703125" bestFit="1" customWidth="1"/>
    <col min="6" max="6" width="41.28515625" bestFit="1" customWidth="1"/>
    <col min="7" max="7" width="5.5703125" bestFit="1" customWidth="1"/>
    <col min="8" max="9" width="7.85546875" bestFit="1" customWidth="1"/>
    <col min="10" max="10" width="10" bestFit="1" customWidth="1"/>
    <col min="11" max="11" width="10" customWidth="1"/>
    <col min="12" max="13" width="5.5703125" bestFit="1" customWidth="1"/>
    <col min="14" max="14" width="13.570312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289</v>
      </c>
      <c r="E1" s="3" t="s">
        <v>122</v>
      </c>
      <c r="F1" s="3" t="s">
        <v>373</v>
      </c>
      <c r="G1" s="3" t="s">
        <v>305</v>
      </c>
      <c r="H1" s="3" t="s">
        <v>124</v>
      </c>
      <c r="I1" s="3" t="s">
        <v>125</v>
      </c>
      <c r="J1" s="3" t="s">
        <v>307</v>
      </c>
      <c r="K1" s="3" t="s">
        <v>308</v>
      </c>
      <c r="L1" s="3" t="s">
        <v>126</v>
      </c>
      <c r="M1" s="3" t="s">
        <v>127</v>
      </c>
      <c r="N1" s="12" t="s">
        <v>158</v>
      </c>
    </row>
    <row r="2" spans="1:14" x14ac:dyDescent="0.25">
      <c r="A2" s="2" t="s">
        <v>16</v>
      </c>
      <c r="B2" s="1" t="s">
        <v>6</v>
      </c>
      <c r="C2" s="1" t="s">
        <v>7</v>
      </c>
      <c r="D2" s="2" t="s">
        <v>288</v>
      </c>
      <c r="E2" s="1" t="s">
        <v>101</v>
      </c>
      <c r="F2" s="30" t="s">
        <v>104</v>
      </c>
      <c r="G2" s="1">
        <v>100</v>
      </c>
      <c r="H2" s="13" t="s">
        <v>105</v>
      </c>
      <c r="I2" s="13" t="s">
        <v>108</v>
      </c>
      <c r="J2" s="13">
        <v>1000</v>
      </c>
      <c r="K2" s="13">
        <v>100</v>
      </c>
      <c r="L2" s="1">
        <v>-200</v>
      </c>
      <c r="M2" s="1">
        <v>-20</v>
      </c>
      <c r="N2" s="13" t="s">
        <v>159</v>
      </c>
    </row>
    <row r="3" spans="1:14" x14ac:dyDescent="0.25">
      <c r="A3" s="19" t="s">
        <v>152</v>
      </c>
      <c r="B3" s="20"/>
      <c r="C3" s="20"/>
      <c r="D3" s="21"/>
      <c r="E3" s="31" t="s">
        <v>154</v>
      </c>
      <c r="F3" s="32"/>
      <c r="G3" s="32"/>
      <c r="H3" s="32"/>
      <c r="I3" s="33"/>
      <c r="J3" s="29"/>
      <c r="K3" s="29"/>
      <c r="L3" s="18" t="s">
        <v>117</v>
      </c>
      <c r="M3" s="18" t="s">
        <v>117</v>
      </c>
      <c r="N3" s="3" t="s">
        <v>160</v>
      </c>
    </row>
  </sheetData>
  <mergeCells count="2">
    <mergeCell ref="E3:I3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DISEÑO</vt:lpstr>
      <vt:lpstr>ON LINE</vt:lpstr>
      <vt:lpstr>MAEEDO (RANDOM)</vt:lpstr>
      <vt:lpstr>MAEDDO (RANDOM)</vt:lpstr>
      <vt:lpstr>TABCODAL (RANDOM)</vt:lpstr>
      <vt:lpstr>BODEGAS (APP)</vt:lpstr>
      <vt:lpstr>UBICACION (APP)</vt:lpstr>
      <vt:lpstr>TEMPORAL (APP)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Zambra</dc:creator>
  <cp:lastModifiedBy>Patricio Zambra</cp:lastModifiedBy>
  <dcterms:created xsi:type="dcterms:W3CDTF">2025-11-07T15:54:06Z</dcterms:created>
  <dcterms:modified xsi:type="dcterms:W3CDTF">2025-11-07T19:51:22Z</dcterms:modified>
</cp:coreProperties>
</file>